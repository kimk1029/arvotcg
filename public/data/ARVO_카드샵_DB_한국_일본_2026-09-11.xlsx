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한국_카드샵" sheetId="1" state="visible" r:id="rId1"/>
    <sheet name="일본_카드샵" sheetId="2" state="visible" r:id="rId2"/>
    <sheet name="안내_출처" sheetId="3" state="visible" r:id="rId3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FFFFFFFF"/>
      <sz val="16"/>
    </font>
    <font>
      <name val="Carlito"/>
      <color rgb="FF243444"/>
      <sz val="10"/>
    </font>
    <font>
      <name val="Carlito"/>
      <b val="1"/>
      <color rgb="FFFFFFFF"/>
      <sz val="10"/>
    </font>
    <font>
      <name val="Carlito"/>
      <color rgb="FF243444"/>
      <sz val="9"/>
    </font>
    <font>
      <name val="Carlito"/>
      <b val="1"/>
      <color rgb="FF1E2D3D"/>
      <sz val="9"/>
    </font>
    <font>
      <name val="Carlito"/>
      <b val="1"/>
      <color rgb="FFFFFFFF"/>
      <sz val="11"/>
    </font>
    <font>
      <name val="Carlito"/>
      <b val="1"/>
      <color rgb="FFFFFFFF"/>
      <sz val="12"/>
    </font>
    <font>
      <color rgb="000563C1"/>
      <u val="single"/>
    </font>
  </fonts>
  <fills count="18">
    <fill>
      <patternFill/>
    </fill>
    <fill>
      <patternFill patternType="gray125"/>
    </fill>
    <fill>
      <patternFill patternType="solid">
        <fgColor rgb="FF0B2133"/>
      </patternFill>
    </fill>
    <fill>
      <patternFill patternType="solid">
        <fgColor rgb="FFEAF4FB"/>
      </patternFill>
    </fill>
    <fill>
      <patternFill patternType="solid">
        <fgColor rgb="FF0D5EA6"/>
      </patternFill>
    </fill>
    <fill>
      <patternFill patternType="solid">
        <fgColor rgb="FFFFF2CC"/>
      </patternFill>
    </fill>
    <fill>
      <patternFill patternType="solid">
        <fgColor rgb="FFEEF8F3"/>
      </patternFill>
    </fill>
    <fill>
      <patternFill patternType="solid">
        <fgColor rgb="FFF8F9FB"/>
      </patternFill>
    </fill>
    <fill>
      <patternFill patternType="solid">
        <fgColor rgb="FFFFF7DC"/>
      </patternFill>
    </fill>
    <fill>
      <patternFill patternType="solid">
        <fgColor rgb="FFF25B2B"/>
      </patternFill>
    </fill>
    <fill>
      <patternFill patternType="solid">
        <fgColor rgb="FFFFF0E8"/>
      </patternFill>
    </fill>
    <fill>
      <patternFill patternType="solid">
        <fgColor rgb="FFF2EEFB"/>
      </patternFill>
    </fill>
    <fill>
      <patternFill patternType="solid">
        <fgColor rgb="FFF8F1E8"/>
      </patternFill>
    </fill>
    <fill>
      <patternFill patternType="solid">
        <fgColor rgb="FFEAF7F7"/>
      </patternFill>
    </fill>
    <fill>
      <patternFill patternType="solid">
        <fgColor rgb="FFF4F6F8"/>
      </patternFill>
    </fill>
    <fill>
      <patternFill patternType="solid">
        <fgColor rgb="FFFFF2F2"/>
      </patternFill>
    </fill>
    <fill>
      <patternFill patternType="solid">
        <fgColor rgb="FFEEF3FF"/>
      </patternFill>
    </fill>
    <fill>
      <patternFill patternType="solid">
        <fgColor rgb="FF187A62"/>
      </patternFill>
    </fill>
  </fills>
  <borders count="18">
    <border/>
    <border/>
    <border>
      <left style="thin">
        <color rgb="FFD8E3EA"/>
      </left>
      <top style="thin">
        <color rgb="FFD8E3EA"/>
      </top>
    </border>
    <border>
      <top style="thin">
        <color rgb="FFD8E3EA"/>
      </top>
    </border>
    <border>
      <right style="thin">
        <color rgb="FFD8E3EA"/>
      </right>
      <top style="thin">
        <color rgb="FFD8E3EA"/>
      </top>
    </border>
    <border>
      <left style="thin">
        <color rgb="FFD8E3EA"/>
      </left>
    </border>
    <border>
      <right style="thin">
        <color rgb="FFD8E3EA"/>
      </right>
    </border>
    <border>
      <left style="thin">
        <color rgb="FFD8E3EA"/>
      </left>
      <bottom style="thin">
        <color rgb="FFD8E3EA"/>
      </bottom>
    </border>
    <border>
      <bottom style="thin">
        <color rgb="FFD8E3EA"/>
      </bottom>
    </border>
    <border>
      <right style="thin">
        <color rgb="FFD8E3EA"/>
      </right>
      <bottom style="thin">
        <color rgb="FFD8E3EA"/>
      </bottom>
    </border>
    <border>
      <left style="thin">
        <color rgb="FFD8E3EA"/>
      </left>
      <top style="thin">
        <color rgb="FFD8E3EA"/>
      </top>
    </border>
    <border>
      <top style="thin">
        <color rgb="FFD8E3EA"/>
      </top>
    </border>
    <border>
      <right style="thin">
        <color rgb="FFD8E3EA"/>
      </right>
      <top style="thin">
        <color rgb="FFD8E3EA"/>
      </top>
    </border>
    <border>
      <left style="thin">
        <color rgb="FFD8E3EA"/>
      </left>
    </border>
    <border>
      <right style="thin">
        <color rgb="FFD8E3EA"/>
      </right>
    </border>
    <border>
      <left style="thin">
        <color rgb="FFD8E3EA"/>
      </left>
      <bottom style="thin">
        <color rgb="FFD8E3EA"/>
      </bottom>
    </border>
    <border>
      <bottom style="thin">
        <color rgb="FFD8E3EA"/>
      </bottom>
    </border>
    <border>
      <right style="thin">
        <color rgb="FFD8E3EA"/>
      </right>
      <bottom style="thin">
        <color rgb="FFD8E3EA"/>
      </bottom>
    </border>
  </borders>
  <cellStyleXfs count="1">
    <xf numFmtId="0" fontId="0" fillId="0" borderId="1"/>
  </cellStyleXfs>
  <cellXfs count="1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6" applyAlignment="1" pivotButton="0" quotePrefix="0" xfId="0">
      <alignment wrapText="1"/>
    </xf>
    <xf numFmtId="0" fontId="4" fillId="0" borderId="7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4" fillId="0" borderId="9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4" fillId="0" borderId="8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4" fillId="0" borderId="1" pivotButton="0" quotePrefix="0" xfId="0"/>
    <xf numFmtId="0" fontId="4" fillId="0" borderId="10" pivotButton="0" quotePrefix="0" xfId="0"/>
    <xf numFmtId="0" fontId="4" fillId="0" borderId="11" pivotButton="0" quotePrefix="0" xfId="0"/>
    <xf numFmtId="0" fontId="4" fillId="0" borderId="12" pivotButton="0" quotePrefix="0" xfId="0"/>
    <xf numFmtId="0" fontId="4" fillId="0" borderId="13" pivotButton="0" quotePrefix="0" xfId="0"/>
    <xf numFmtId="0" fontId="4" fillId="0" borderId="14" pivotButton="0" quotePrefix="0" xfId="0"/>
    <xf numFmtId="0" fontId="4" fillId="0" borderId="15" pivotButton="0" quotePrefix="0" xfId="0"/>
    <xf numFmtId="0" fontId="4" fillId="0" borderId="16" pivotButton="0" quotePrefix="0" xfId="0"/>
    <xf numFmtId="0" fontId="4" fillId="0" borderId="17" pivotButton="0" quotePrefix="0" xfId="0"/>
    <xf numFmtId="0" fontId="4" fillId="0" borderId="10" applyAlignment="1" pivotButton="0" quotePrefix="0" xfId="0">
      <alignment wrapText="1"/>
    </xf>
    <xf numFmtId="0" fontId="4" fillId="0" borderId="11" applyAlignment="1" pivotButton="0" quotePrefix="0" xfId="0">
      <alignment wrapText="1"/>
    </xf>
    <xf numFmtId="0" fontId="4" fillId="0" borderId="12" applyAlignment="1" pivotButton="0" quotePrefix="0" xfId="0">
      <alignment wrapText="1"/>
    </xf>
    <xf numFmtId="0" fontId="4" fillId="0" borderId="13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4" fillId="0" borderId="14" applyAlignment="1" pivotButton="0" quotePrefix="0" xfId="0">
      <alignment wrapText="1"/>
    </xf>
    <xf numFmtId="0" fontId="4" fillId="0" borderId="15" applyAlignment="1" pivotButton="0" quotePrefix="0" xfId="0">
      <alignment wrapText="1"/>
    </xf>
    <xf numFmtId="0" fontId="4" fillId="0" borderId="16" applyAlignment="1" pivotButton="0" quotePrefix="0" xfId="0">
      <alignment wrapText="1"/>
    </xf>
    <xf numFmtId="0" fontId="4" fillId="0" borderId="17" applyAlignment="1" pivotButton="0" quotePrefix="0" xfId="0">
      <alignment wrapText="1"/>
    </xf>
    <xf numFmtId="0" fontId="4" fillId="0" borderId="10" applyAlignment="1" pivotButton="0" quotePrefix="0" xfId="0">
      <alignment vertical="top" wrapText="1"/>
    </xf>
    <xf numFmtId="0" fontId="4" fillId="0" borderId="11" applyAlignment="1" pivotButton="0" quotePrefix="0" xfId="0">
      <alignment vertical="top" wrapText="1"/>
    </xf>
    <xf numFmtId="0" fontId="4" fillId="0" borderId="12" applyAlignment="1" pivotButton="0" quotePrefix="0" xfId="0">
      <alignment vertical="top" wrapText="1"/>
    </xf>
    <xf numFmtId="0" fontId="4" fillId="0" borderId="13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4" applyAlignment="1" pivotButton="0" quotePrefix="0" xfId="0">
      <alignment vertical="top" wrapText="1"/>
    </xf>
    <xf numFmtId="0" fontId="4" fillId="0" borderId="15" applyAlignment="1" pivotButton="0" quotePrefix="0" xfId="0">
      <alignment vertical="top" wrapText="1"/>
    </xf>
    <xf numFmtId="0" fontId="4" fillId="0" borderId="16" applyAlignment="1" pivotButton="0" quotePrefix="0" xfId="0">
      <alignment vertical="top" wrapText="1"/>
    </xf>
    <xf numFmtId="0" fontId="4" fillId="0" borderId="17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3" applyAlignment="1" pivotButton="0" quotePrefix="0" xfId="0">
      <alignment vertical="top" wrapText="1"/>
    </xf>
    <xf numFmtId="0" fontId="4" fillId="5" borderId="4" applyAlignment="1" pivotButton="0" quotePrefix="0" xfId="0">
      <alignment vertical="top" wrapText="1"/>
    </xf>
    <xf numFmtId="0" fontId="4" fillId="5" borderId="10" applyAlignment="1" pivotButton="0" quotePrefix="0" xfId="0">
      <alignment vertical="top" wrapText="1"/>
    </xf>
    <xf numFmtId="0" fontId="4" fillId="5" borderId="11" applyAlignment="1" pivotButton="0" quotePrefix="0" xfId="0">
      <alignment vertical="top" wrapText="1"/>
    </xf>
    <xf numFmtId="0" fontId="4" fillId="5" borderId="12" applyAlignment="1" pivotButton="0" quotePrefix="0" xfId="0">
      <alignment vertical="top" wrapText="1"/>
    </xf>
    <xf numFmtId="0" fontId="5" fillId="5" borderId="3" applyAlignment="1" pivotButton="0" quotePrefix="0" xfId="0">
      <alignment vertical="top" wrapText="1"/>
    </xf>
    <xf numFmtId="0" fontId="5" fillId="5" borderId="11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10" applyAlignment="1" pivotButton="0" quotePrefix="0" xfId="0">
      <alignment vertical="top" wrapText="1"/>
    </xf>
    <xf numFmtId="0" fontId="4" fillId="3" borderId="11" applyAlignment="1" pivotButton="0" quotePrefix="0" xfId="0">
      <alignment vertical="top" wrapText="1"/>
    </xf>
    <xf numFmtId="0" fontId="4" fillId="3" borderId="5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3" borderId="13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6" borderId="13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5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7" borderId="13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7" borderId="7" applyAlignment="1" pivotButton="0" quotePrefix="0" xfId="0">
      <alignment vertical="top" wrapText="1"/>
    </xf>
    <xf numFmtId="0" fontId="4" fillId="7" borderId="8" applyAlignment="1" pivotButton="0" quotePrefix="0" xfId="0">
      <alignment vertical="top" wrapText="1"/>
    </xf>
    <xf numFmtId="0" fontId="4" fillId="7" borderId="15" applyAlignment="1" pivotButton="0" quotePrefix="0" xfId="0">
      <alignment vertical="top" wrapText="1"/>
    </xf>
    <xf numFmtId="0" fontId="4" fillId="7" borderId="16" applyAlignment="1" pivotButton="0" quotePrefix="0" xfId="0">
      <alignment vertical="top" wrapText="1"/>
    </xf>
    <xf numFmtId="0" fontId="0" fillId="8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wrapText="1"/>
    </xf>
    <xf numFmtId="0" fontId="2" fillId="8" borderId="0" applyAlignment="1" pivotButton="0" quotePrefix="0" xfId="0">
      <alignment vertical="center" wrapText="1"/>
    </xf>
    <xf numFmtId="0" fontId="0" fillId="8" borderId="1" pivotButton="0" quotePrefix="0" xfId="0"/>
    <xf numFmtId="0" fontId="2" fillId="8" borderId="1" pivotButton="0" quotePrefix="0" xfId="0"/>
    <xf numFmtId="0" fontId="2" fillId="8" borderId="1" applyAlignment="1" pivotButton="0" quotePrefix="0" xfId="0">
      <alignment wrapText="1"/>
    </xf>
    <xf numFmtId="0" fontId="2" fillId="8" borderId="1" applyAlignment="1" pivotButton="0" quotePrefix="0" xfId="0">
      <alignment vertical="center" wrapText="1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0" fillId="9" borderId="1" pivotButton="0" quotePrefix="0" xfId="0"/>
    <xf numFmtId="0" fontId="3" fillId="9" borderId="1" pivotButton="0" quotePrefix="0" xfId="0"/>
    <xf numFmtId="0" fontId="3" fillId="9" borderId="1" applyAlignment="1" pivotButton="0" quotePrefix="0" xfId="0">
      <alignment wrapText="1"/>
    </xf>
    <xf numFmtId="0" fontId="3" fillId="9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5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4" fillId="10" borderId="13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8" borderId="5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4" fillId="8" borderId="13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11" borderId="5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4" fillId="11" borderId="13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2" borderId="5" applyAlignment="1" pivotButton="0" quotePrefix="0" xfId="0">
      <alignment vertical="top" wrapText="1"/>
    </xf>
    <xf numFmtId="0" fontId="4" fillId="12" borderId="0" applyAlignment="1" pivotButton="0" quotePrefix="0" xfId="0">
      <alignment vertical="top" wrapText="1"/>
    </xf>
    <xf numFmtId="0" fontId="4" fillId="12" borderId="13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4" fillId="13" borderId="5" applyAlignment="1" pivotButton="0" quotePrefix="0" xfId="0">
      <alignment vertical="top" wrapText="1"/>
    </xf>
    <xf numFmtId="0" fontId="4" fillId="13" borderId="0" applyAlignment="1" pivotButton="0" quotePrefix="0" xfId="0">
      <alignment vertical="top" wrapText="1"/>
    </xf>
    <xf numFmtId="0" fontId="4" fillId="13" borderId="13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4" fillId="14" borderId="5" applyAlignment="1" pivotButton="0" quotePrefix="0" xfId="0">
      <alignment vertical="top" wrapText="1"/>
    </xf>
    <xf numFmtId="0" fontId="4" fillId="14" borderId="0" applyAlignment="1" pivotButton="0" quotePrefix="0" xfId="0">
      <alignment vertical="top" wrapText="1"/>
    </xf>
    <xf numFmtId="0" fontId="4" fillId="14" borderId="13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4" fillId="15" borderId="5" applyAlignment="1" pivotButton="0" quotePrefix="0" xfId="0">
      <alignment vertical="top" wrapText="1"/>
    </xf>
    <xf numFmtId="0" fontId="4" fillId="15" borderId="0" applyAlignment="1" pivotButton="0" quotePrefix="0" xfId="0">
      <alignment vertical="top" wrapText="1"/>
    </xf>
    <xf numFmtId="0" fontId="4" fillId="15" borderId="13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  <xf numFmtId="0" fontId="4" fillId="16" borderId="5" applyAlignment="1" pivotButton="0" quotePrefix="0" xfId="0">
      <alignment vertical="top" wrapText="1"/>
    </xf>
    <xf numFmtId="0" fontId="4" fillId="16" borderId="0" applyAlignment="1" pivotButton="0" quotePrefix="0" xfId="0">
      <alignment vertical="top" wrapText="1"/>
    </xf>
    <xf numFmtId="0" fontId="4" fillId="16" borderId="13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  <xf numFmtId="0" fontId="4" fillId="16" borderId="7" applyAlignment="1" pivotButton="0" quotePrefix="0" xfId="0">
      <alignment vertical="top" wrapText="1"/>
    </xf>
    <xf numFmtId="0" fontId="4" fillId="16" borderId="8" applyAlignment="1" pivotButton="0" quotePrefix="0" xfId="0">
      <alignment vertical="top" wrapText="1"/>
    </xf>
    <xf numFmtId="0" fontId="4" fillId="16" borderId="15" applyAlignment="1" pivotButton="0" quotePrefix="0" xfId="0">
      <alignment vertical="top" wrapText="1"/>
    </xf>
    <xf numFmtId="0" fontId="4" fillId="16" borderId="16" applyAlignment="1" pivotButton="0" quotePrefix="0" xfId="0">
      <alignment vertical="top" wrapText="1"/>
    </xf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  <xf numFmtId="0" fontId="0" fillId="17" borderId="0" pivotButton="0" quotePrefix="0" xfId="0"/>
    <xf numFmtId="0" fontId="7" fillId="17" borderId="0" pivotButton="0" quotePrefix="0" xfId="0"/>
    <xf numFmtId="0" fontId="0" fillId="17" borderId="1" pivotButton="0" quotePrefix="0" xfId="0"/>
    <xf numFmtId="0" fontId="7" fillId="17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KoreaCardshops" displayName="KoreaCardshops" ref="A4:K106" headerRowCount="1" totalsRowCount="0" totalsRowShown="0">
  <tableColumns count="11">
    <tableColumn id="1" name="시도"/>
    <tableColumn id="2" name="지역순번"/>
    <tableColumn id="3" name="지역/상권"/>
    <tableColumn id="4" name="지역내순번"/>
    <tableColumn id="5" name="카드샵명"/>
    <tableColumn id="6" name="공식/공개번호"/>
    <tableColumn id="7" name="주소"/>
    <tableColumn id="8" name="영업시간"/>
    <tableColumn id="9" name="대표 한줄 소개"/>
    <tableColumn id="10" name="출처"/>
    <tableColumn id="11" name="확인일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JapanCardshops" displayName="JapanCardshops" ref="A4:M67" headerRowCount="1" totalsRowCount="0" totalsRowShown="0">
  <tableColumns count="13">
    <tableColumn id="1" name="대도시"/>
    <tableColumn id="2" name="세부지역/상권"/>
    <tableColumn id="3" name="지역내순번"/>
    <tableColumn id="4" name="매장명"/>
    <tableColumn id="5" name="공식/공개번호"/>
    <tableColumn id="6" name="주소"/>
    <tableColumn id="7" name="영업시간"/>
    <tableColumn id="8" name="대표 한줄 소개"/>
    <tableColumn id="9" name="공식/매장 페이지"/>
    <tableColumn id="10" name="Google Maps"/>
    <tableColumn id="11" name="Google 이미지"/>
    <tableColumn id="12" name="출처"/>
    <tableColumn id="13" name="확인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cardstory.tcg/" TargetMode="External" Id="rId1" /><Relationship Type="http://schemas.openxmlformats.org/officeDocument/2006/relationships/hyperlink" Target="https://scontent-icn2-1.cdninstagram.com/v/t51.82787-19/775524702_17936546637347019_4392681646294703985_n.jpg?stp=dst-jpg_s150x150_tt6&amp;_nc_cat=101&amp;ccb=7-5&amp;_nc_sid=f7ccc5&amp;efg=eyJ2ZW5jb2RlX3RhZyI6InByb2ZpbGVfcGljLnd3dy4xMDgwLkMzIn0%3D&amp;_nc_ohc=Iw0WdPHJTd8Q7kNvwF2nK29&amp;_nc_oc=AdrxHXUGqorSShnzcdXGZMWXbs1ovU6xhdFLEBtEgLmBXdD-cHTZTlYQk-JW1OX4jBk&amp;_nc_zt=24&amp;_nc_ht=scontent-icn2-1.cdninstagram.com&amp;_nc_gid=7ClEtXxmr94b-q5IPTwhxw&amp;_nc_ss=7fa02&amp;oh=00_AQKtCEq_0PDFEeVi1pMgwfAMSh4rNXKXSE8ZMNO2IuQMGw&amp;oe=6AAA1077" TargetMode="External" Id="rId2" /><Relationship Type="http://schemas.openxmlformats.org/officeDocument/2006/relationships/hyperlink" Target="https://www.instagram.com/hobbykorea/" TargetMode="External" Id="rId3" /><Relationship Type="http://schemas.openxmlformats.org/officeDocument/2006/relationships/hyperlink" Target="https://ldb-phinf.pstatic.net/20250923_189/1758587248257FK7PO_JPEG/%B8%C5%C0%E5_%BB%E7%C1%F8_2_%281%29.jpg" TargetMode="External" Id="rId4" /><Relationship Type="http://schemas.openxmlformats.org/officeDocument/2006/relationships/hyperlink" Target="https://scontent-icn2-1.cdninstagram.com/v/t51.82787-19/573372031_18296205073286670_474594460697825882_n.jpg?stp=dst-jpg_s150x150_tt6&amp;_nc_cat=107&amp;ccb=7-5&amp;_nc_sid=f7ccc5&amp;efg=eyJ2ZW5jb2RlX3RhZyI6InByb2ZpbGVfcGljLnd3dy40MTQuQzMifQ%3D%3D&amp;_nc_ohc=vmVnIQGWP1AQ7kNvwGC0qkV&amp;_nc_oc=AdqNEea3m6lnBMlxBKNpx_9rg4Cpk8cQCk-vg3hsYafPNVKZTCnKpEu-AUlV-jBaAWs&amp;_nc_zt=24&amp;_nc_ht=scontent-icn2-1.cdninstagram.com&amp;_nc_gid=s-r3_dqIUIZKcC2q_mkSIg&amp;_nc_ss=7fa02&amp;oh=00_AQLHN4-oz-_Sfjl5VZuo8m4l_767II-f1VNokYXN7TWAkQ&amp;oe=6AA9B0C8" TargetMode="External" Id="rId5" /><Relationship Type="http://schemas.openxmlformats.org/officeDocument/2006/relationships/hyperlink" Target="https://m.place.naver.com/place/1361503438/home" TargetMode="External" Id="rId6" /><Relationship Type="http://schemas.openxmlformats.org/officeDocument/2006/relationships/hyperlink" Target="https://ldb-phinf.pstatic.net/20221210_258/1670599035030iTcyQ_JPEG/1670598976247-1.jpg" TargetMode="External" Id="rId7" /><Relationship Type="http://schemas.openxmlformats.org/officeDocument/2006/relationships/hyperlink" Target="https://m.place.naver.com/place/12073239/home" TargetMode="External" Id="rId8" /><Relationship Type="http://schemas.openxmlformats.org/officeDocument/2006/relationships/hyperlink" Target="https://ldb-phinf.pstatic.net/20220721_113/1658389765702UqIpC_PNG/%C4%B8%C3%B3.PNG" TargetMode="External" Id="rId9" /><Relationship Type="http://schemas.openxmlformats.org/officeDocument/2006/relationships/hyperlink" Target="https://m.place.naver.com/place/1587645711/home" TargetMode="External" Id="rId10" /><Relationship Type="http://schemas.openxmlformats.org/officeDocument/2006/relationships/hyperlink" Target="https://www.instagram.com/cardhobby.us/" TargetMode="External" Id="rId11" /><Relationship Type="http://schemas.openxmlformats.org/officeDocument/2006/relationships/hyperlink" Target="https://ldb-phinf.pstatic.net/20250502_133/1746162170537S6fNF_JPEG/KakaoTalk_20250502_140207905.jpg" TargetMode="External" Id="rId12" /><Relationship Type="http://schemas.openxmlformats.org/officeDocument/2006/relationships/hyperlink" Target="https://scontent-icn2-1.cdninstagram.com/v/t51.82787-19/756434534_18403118371093026_6839739890969634620_n.jpg?stp=dst-jpg_s150x150_tt6&amp;_nc_cat=106&amp;ccb=7-5&amp;_nc_sid=f7ccc5&amp;efg=eyJ2ZW5jb2RlX3RhZyI6InByb2ZpbGVfcGljLnd3dy4xMDU3LkMzIn0%3D&amp;_nc_ohc=WsXISDUkmLoQ7kNvwEdUxB6&amp;_nc_oc=AdoqXGulL8W2_glLiNP4S3TH_ic1kQmhxe87Nm0O6402gQGDibAkj3X0SE85-9J_4tA&amp;_nc_zt=24&amp;_nc_ht=scontent-icn2-1.cdninstagram.com&amp;_nc_gid=IjK4wP7rRkMj3zdVoQ58PQ&amp;_nc_ss=7fa02&amp;oh=00_AQKPamarime6KPuUeqKYr7CFkydliINyNLpDMzDx2jQzyQ&amp;oe=6AA9B271" TargetMode="External" Id="rId13" /><Relationship Type="http://schemas.openxmlformats.org/officeDocument/2006/relationships/hyperlink" Target="https://m.place.naver.com/place/2005940214/home" TargetMode="External" Id="rId14" /><Relationship Type="http://schemas.openxmlformats.org/officeDocument/2006/relationships/hyperlink" Target="https://www.instagram.com/4cardbreak/" TargetMode="External" Id="rId15" /><Relationship Type="http://schemas.openxmlformats.org/officeDocument/2006/relationships/hyperlink" Target="https://ldb-phinf.pstatic.net/20240120_186/17057490577893j5IS_JPEG/20240104_121247.jpg" TargetMode="External" Id="rId16" /><Relationship Type="http://schemas.openxmlformats.org/officeDocument/2006/relationships/hyperlink" Target="https://scontent-icn2-1.cdninstagram.com/v/t51.2885-19/430325976_706700854946963_7517039093672060029_n.jpg?stp=dst-jpg_s150x150_tt6&amp;_nc_cat=101&amp;ccb=7-5&amp;_nc_sid=f7ccc5&amp;efg=eyJ2ZW5jb2RlX3RhZyI6InByb2ZpbGVfcGljLnd3dy42MDAuQzMifQ%3D%3D&amp;_nc_ohc=0PX2KyO-b2IQ7kNvwGfad4E&amp;_nc_oc=AdpaFieSJbj2Xseseec7cIFfR5-vQprz09wHEYSguVRracaeGR1hsJPUj7auOASRisQ&amp;_nc_zt=24&amp;_nc_ht=scontent-icn2-1.cdninstagram.com&amp;_nc_ss=7fa02&amp;oh=00_AQJYnI5PkAIYtuLfTqOrdrIf5thtTUMtxXrhH2PYpbfAVA&amp;oe=6AA98A26" TargetMode="External" Id="rId17" /><Relationship Type="http://schemas.openxmlformats.org/officeDocument/2006/relationships/hyperlink" Target="https://m.place.naver.com/place/1229355383/home" TargetMode="External" Id="rId18" /><Relationship Type="http://schemas.openxmlformats.org/officeDocument/2006/relationships/hyperlink" Target="https://www.instagram.com/kindleshop/" TargetMode="External" Id="rId19" /><Relationship Type="http://schemas.openxmlformats.org/officeDocument/2006/relationships/hyperlink" Target="https://ldb-phinf.pstatic.net/20240425_16/1714034056740xtmD1_PNG/IMG_9716.png" TargetMode="External" Id="rId20" /><Relationship Type="http://schemas.openxmlformats.org/officeDocument/2006/relationships/hyperlink" Target="https://scontent-icn2-1.cdninstagram.com/v/t51.2885-19/11372054_1607614922825344_1969134053_a.jpg?stp=dst-jpg_s150x150_tt6&amp;_nc_cat=103&amp;ccb=7-5&amp;_nc_sid=f7ccc5&amp;efg=eyJ2ZW5jb2RlX3RhZyI6InByb2ZpbGVfcGljLnd3dy40MDAuQzMifQ%3D%3D&amp;_nc_ohc=Cmgc4HsQ-C8Q7kNvwHgnWw5&amp;_nc_oc=AdqkFtNYb-soQQmD1DEkHOcDtDq0x5tJT77-yRSfRc3urt57xNBEs3KVx4mucy5Q40Y&amp;_nc_zt=24&amp;_nc_ht=scontent-icn2-1.cdninstagram.com&amp;_nc_ss=7f60f&amp;oh=00_AQLdBbrOcNXEmXdG7LH35XJ1kZvByXBvK9QHGvzRSLuSfg&amp;oe=6AA989C6" TargetMode="External" Id="rId21" /><Relationship Type="http://schemas.openxmlformats.org/officeDocument/2006/relationships/hyperlink" Target="https://m.place.naver.com/place/36375122/home" TargetMode="External" Id="rId22" /><Relationship Type="http://schemas.openxmlformats.org/officeDocument/2006/relationships/hyperlink" Target="https://www.instagram.com/collectotcg/" TargetMode="External" Id="rId23" /><Relationship Type="http://schemas.openxmlformats.org/officeDocument/2006/relationships/hyperlink" Target="https://ldb-phinf.pstatic.net/20260820_292/1787206563078FSbaN_JPEG/IMG_1668.jpg" TargetMode="External" Id="rId24" /><Relationship Type="http://schemas.openxmlformats.org/officeDocument/2006/relationships/hyperlink" Target="https://scontent-icn2-1.cdninstagram.com/v/t51.2885-19/372432021_683454013257340_8678293739207394254_n.jpg?stp=dst-jpg_s150x150_tt6&amp;_nc_cat=102&amp;ccb=7-5&amp;_nc_sid=f7ccc5&amp;efg=eyJ2ZW5jb2RlX3RhZyI6InByb2ZpbGVfcGljLnd3dy4xMDgwLkMzIn0%3D&amp;_nc_ohc=c-grTNdrXGsQ7kNvwEWd4ed&amp;_nc_oc=Adq6g_4_IVx6iOQCWb1yhu4nYngwIAWLh1gIXFErmdHUO96wrBp4ihO9MWiiksyPZFs&amp;_nc_zt=24&amp;_nc_ht=scontent-icn2-1.cdninstagram.com&amp;_nc_ss=7f60f&amp;oh=00_AQKvjjSgQtQQLxhs1j8BuH-h4W9tN01_bvNXF3l1AYMrVQ&amp;oe=6AA9B279" TargetMode="External" Id="rId25" /><Relationship Type="http://schemas.openxmlformats.org/officeDocument/2006/relationships/hyperlink" Target="https://m.place.naver.com/place/1764519186/home" TargetMode="External" Id="rId26" /><Relationship Type="http://schemas.openxmlformats.org/officeDocument/2006/relationships/hyperlink" Target="https://www.instagram.com/cific777/" TargetMode="External" Id="rId27" /><Relationship Type="http://schemas.openxmlformats.org/officeDocument/2006/relationships/hyperlink" Target="https://www.instagram.com/playarenatcg/" TargetMode="External" Id="rId28" /><Relationship Type="http://schemas.openxmlformats.org/officeDocument/2006/relationships/hyperlink" Target="https://ldb-phinf.pstatic.net/20260417_96/1776425467962Pttbg_PNG/Gemini_Generated_Image_pwtqhqpwtqhqpwtq.png" TargetMode="External" Id="rId29" /><Relationship Type="http://schemas.openxmlformats.org/officeDocument/2006/relationships/hyperlink" Target="https://scontent-icn2-1.cdninstagram.com/v/t51.2885-19/451967800_1891821624592529_596577564306718199_n.jpg?stp=dst-jpg_s150x150_tt6&amp;_nc_cat=106&amp;ccb=7-5&amp;_nc_sid=f7ccc5&amp;efg=eyJ2ZW5jb2RlX3RhZyI6InByb2ZpbGVfcGljLnd3dy45NjAuQzMifQ%3D%3D&amp;_nc_ohc=2jX5WqoIcc0Q7kNvwFBOSWR&amp;_nc_oc=AdrW8_gPkYx0uVmDE0IE6m3fA3mYC__J_ZXMx7_stwd3UlR_EyakBAR1LgRb4W9N8TI&amp;_nc_zt=24&amp;_nc_ht=scontent-icn2-1.cdninstagram.com&amp;_nc_ss=7f60f&amp;oh=00_AQK-0GHoSbhPAfQ2uOAEFkEfE11XWmcMdYZt3eSYsE0K4g&amp;oe=6AA9AA57" TargetMode="External" Id="rId30" /><Relationship Type="http://schemas.openxmlformats.org/officeDocument/2006/relationships/hyperlink" Target="https://m.place.naver.com/place/1474686661/home" TargetMode="External" Id="rId31" /><Relationship Type="http://schemas.openxmlformats.org/officeDocument/2006/relationships/hyperlink" Target="https://www.instagram.com/rabbitcompany/" TargetMode="External" Id="rId32" /><Relationship Type="http://schemas.openxmlformats.org/officeDocument/2006/relationships/hyperlink" Target="https://ldb-phinf.pstatic.net/20240527_198/1716798296521X8wXX_JPEG/KakaoTalk_20240527_172342594.jpg" TargetMode="External" Id="rId33" /><Relationship Type="http://schemas.openxmlformats.org/officeDocument/2006/relationships/hyperlink" Target="https://m.place.naver.com/place/1083720031/home" TargetMode="External" Id="rId34" /><Relationship Type="http://schemas.openxmlformats.org/officeDocument/2006/relationships/hyperlink" Target="https://www.instagram.com/xoxo_xoplay/" TargetMode="External" Id="rId35" /><Relationship Type="http://schemas.openxmlformats.org/officeDocument/2006/relationships/hyperlink" Target="https://ldb-phinf.pstatic.net/20220720_167/16583277440531HgNx_PNG/xoplay_logo.png" TargetMode="External" Id="rId36" /><Relationship Type="http://schemas.openxmlformats.org/officeDocument/2006/relationships/hyperlink" Target="https://scontent-icn2-1.cdninstagram.com/v/t51.82787-19/778735642_17904243465521557_1800504382826832970_n.jpg?stp=dst-jpg_s150x150_tt6&amp;_nc_cat=105&amp;ccb=7-5&amp;_nc_sid=f7ccc5&amp;efg=eyJ2ZW5jb2RlX3RhZyI6InByb2ZpbGVfcGljLnd3dy4xMDgwLkMzIn0%3D&amp;_nc_ohc=du4rUfXz6d4Q7kNvwGdHkA3&amp;_nc_oc=AdpJh8v5-FNwQVFT2WZYelsKBxGR7TC-pti-0okOWzjIUtqaKg7w5N2kY-v8TZvq1eQ&amp;_nc_zt=24&amp;_nc_ht=scontent-icn2-1.cdninstagram.com&amp;_nc_gid=jbkidc5UchhtJhCto8Ai5A&amp;_nc_ss=7fa02&amp;oh=00_AQJ1XcUyaCFExJsAabEt1iSpHyWeMeze3DCLcOqnI35FQQ&amp;oe=6AA9F085" TargetMode="External" Id="rId37" /><Relationship Type="http://schemas.openxmlformats.org/officeDocument/2006/relationships/hyperlink" Target="https://m.place.naver.com/place/1471437209/home" TargetMode="External" Id="rId38" /><Relationship Type="http://schemas.openxmlformats.org/officeDocument/2006/relationships/hyperlink" Target="https://www.instagram.com/mtgrollingdice/" TargetMode="External" Id="rId39" /><Relationship Type="http://schemas.openxmlformats.org/officeDocument/2006/relationships/hyperlink" Target="https://ldb-phinf.pstatic.net/20151126_83/1448517404293xdcuJ_PNG/167070543275546_0.png" TargetMode="External" Id="rId40" /><Relationship Type="http://schemas.openxmlformats.org/officeDocument/2006/relationships/hyperlink" Target="https://scontent-icn2-1.cdninstagram.com/v/t51.2885-19/342068789_735204201664599_9186102054384498114_n.jpg?stp=dst-jpg_s150x150_tt6&amp;_nc_cat=103&amp;ccb=7-5&amp;_nc_sid=f7ccc5&amp;efg=eyJ2ZW5jb2RlX3RhZyI6InByb2ZpbGVfcGljLnd3dy42ODkuQzMifQ%3D%3D&amp;_nc_ohc=jL0IebT4420Q7kNvwEO_nxH&amp;_nc_oc=Adq6VlqtnOzewoFniXkzQKAIC0_DJ-CpmmZgEc4B32IIGT4Lw9fGdCz2F2_F6g7v5_U&amp;_nc_zt=24&amp;_nc_ht=scontent-icn2-1.cdninstagram.com&amp;_nc_ss=7fa02&amp;oh=00_AQIjMhKXnl1vtonGPO8BW1dYHPVRfKUdMQGwp-pIaEEf-A&amp;oe=6AA9A9C8" TargetMode="External" Id="rId41" /><Relationship Type="http://schemas.openxmlformats.org/officeDocument/2006/relationships/hyperlink" Target="https://m.place.naver.com/place/37332888/home" TargetMode="External" Id="rId42" /><Relationship Type="http://schemas.openxmlformats.org/officeDocument/2006/relationships/hyperlink" Target="https://www.instagram.com/realcardshop/" TargetMode="External" Id="rId43" /><Relationship Type="http://schemas.openxmlformats.org/officeDocument/2006/relationships/hyperlink" Target="https://scontent-icn2-1.cdninstagram.com/v/t51.82787-19/778244628_18087530246279894_643768670558763707_n.jpg?stp=dst-jpg_s150x150_tt6&amp;_nc_cat=105&amp;ccb=7-5&amp;_nc_sid=f7ccc5&amp;efg=eyJ2ZW5jb2RlX3RhZyI6InByb2ZpbGVfcGljLnd3dy4xMDgwLkMzIn0%3D&amp;_nc_ohc=R60b8iu9W_YQ7kNvwEZOKcm&amp;_nc_oc=AdrQ_gdpHaR2vuVQFXywxfM-_pMBpQMhOChP3e-5BHLNfpIGoQ45rJRV8ltkP5LqV-g&amp;_nc_zt=24&amp;_nc_ht=scontent-icn2-1.cdninstagram.com&amp;_nc_gid=vksAwUCqNPmzclqZ7gXViw&amp;_nc_ss=7fa02&amp;oh=00_AQItvIJnFD2iIJg0DMEJ79f_8TxI-KzdLuke69SHBVSyBg&amp;oe=6AA9ABC8" TargetMode="External" Id="rId44" /><Relationship Type="http://schemas.openxmlformats.org/officeDocument/2006/relationships/hyperlink" Target="https://m.place.naver.com/place/2044356309/home" TargetMode="External" Id="rId45" /><Relationship Type="http://schemas.openxmlformats.org/officeDocument/2006/relationships/hyperlink" Target="https://www.instagram.com/cardkingdom_kr/" TargetMode="External" Id="rId46" /><Relationship Type="http://schemas.openxmlformats.org/officeDocument/2006/relationships/hyperlink" Target="https://scontent-icn2-1.cdninstagram.com/v/t51.82787-19/589544242_17843494803628137_7329946051142594385_n.jpg?stp=dst-jpg_s150x150_tt6&amp;_nc_cat=111&amp;ccb=7-5&amp;_nc_sid=f7ccc5&amp;efg=eyJ2ZW5jb2RlX3RhZyI6InByb2ZpbGVfcGljLnd3dy4zMTMuQzMifQ%3D%3D&amp;_nc_ohc=67COV5FVGE8Q7kNvwExzNO0&amp;_nc_oc=AdpVSqlHw0jvPwSMFQ4Y2DJ1nZ2B8dSt6aSc3ioT6JI2HbLQ3OmGrPP2NM8JiPY90kM&amp;_nc_zt=24&amp;_nc_ht=scontent-icn2-1.cdninstagram.com&amp;_nc_gid=sJYgjGmEY31qQ4OBQQyjhw&amp;_nc_ss=7fa02&amp;oh=00_AQKnbTzuMuzSSx9vEhv0AXWD_IT8ltejz5EZ80V5cpzqtQ&amp;oe=6AA9828D" TargetMode="External" Id="rId47" /><Relationship Type="http://schemas.openxmlformats.org/officeDocument/2006/relationships/hyperlink" Target="https://m.place.naver.com/place/438636103/home" TargetMode="External" Id="rId48" /><Relationship Type="http://schemas.openxmlformats.org/officeDocument/2006/relationships/hyperlink" Target="https://www.instagram.com/geartown_kr/" TargetMode="External" Id="rId49" /><Relationship Type="http://schemas.openxmlformats.org/officeDocument/2006/relationships/hyperlink" Target="https://ldb-phinf.pstatic.net/20240403_44/1712122052483HxptB_JPEG/geartownv_Mini.jpg" TargetMode="External" Id="rId50" /><Relationship Type="http://schemas.openxmlformats.org/officeDocument/2006/relationships/hyperlink" Target="https://scontent-icn2-1.cdninstagram.com/v/t51.82787-19/673064020_17859741531652113_3971998025505593520_n.jpg?stp=dst-jpg_s150x150_tt6&amp;_nc_cat=108&amp;ccb=7-5&amp;_nc_sid=f7ccc5&amp;efg=eyJ2ZW5jb2RlX3RhZyI6InByb2ZpbGVfcGljLnd3dy4xMDgwLkMzIn0%3D&amp;_nc_ohc=byNS6kQiA_YQ7kNvwFhX_4B&amp;_nc_oc=Adp6-3cJnZBTISW77beo1hWF1KF3HtTLWjVTh5p3ph7U3cPZ6VlgtN2AUsN9h4gBExc&amp;_nc_zt=24&amp;_nc_ht=scontent-icn2-1.cdninstagram.com&amp;_nc_gid=nl1L8gA_NNDtSGjbSL8opA&amp;_nc_ss=7fa02&amp;oh=00_AQIFnBN00cyKNCBCEYPoAA8YRGCD8BgffgK6_Eo3XEsl3w&amp;oe=6AAA18BE" TargetMode="External" Id="rId51" /><Relationship Type="http://schemas.openxmlformats.org/officeDocument/2006/relationships/hyperlink" Target="https://m.place.naver.com/place/1303665532/home" TargetMode="External" Id="rId52" /><Relationship Type="http://schemas.openxmlformats.org/officeDocument/2006/relationships/hyperlink" Target="https://ldb-phinf.pstatic.net/20151125_69/1448424172589nittN_PNG/167069575050470_0.png" TargetMode="External" Id="rId53" /><Relationship Type="http://schemas.openxmlformats.org/officeDocument/2006/relationships/hyperlink" Target="https://m.place.naver.com/place/37326709/home" TargetMode="External" Id="rId54" /><Relationship Type="http://schemas.openxmlformats.org/officeDocument/2006/relationships/hyperlink" Target="https://www.instagram.com/pokemoncardchamp/" TargetMode="External" Id="rId55" /><Relationship Type="http://schemas.openxmlformats.org/officeDocument/2006/relationships/hyperlink" Target="https://scontent-icn2-1.cdninstagram.com/v/t51.82787-19/723172665_18132765739513807_5341913922908967324_n.jpg?stp=dst-jpg_s150x150_tt6&amp;_nc_cat=105&amp;ccb=7-5&amp;_nc_sid=f7ccc5&amp;efg=eyJ2ZW5jb2RlX3RhZyI6InByb2ZpbGVfcGljLnd3dy4xMDgwLkMzIn0%3D&amp;_nc_ohc=TJCRxPe_X4IQ7kNvwG9e_ZN&amp;_nc_oc=Adomq0rXoKHewnjZFAWhxBs2pmVnBu0rhNnJRcsJ_AlUL7EbqaSDW8jRanOkNotPMnI&amp;_nc_zt=24&amp;_nc_ht=scontent-icn2-1.cdninstagram.com&amp;_nc_gid=H8gtXid6Z3XXkX8pcvxpiw&amp;_nc_ss=7fa02&amp;oh=00_AQJ5K-OzrArzbE1_XRJUUhXafcKDXEeL-7ROq9G1TEb3DQ&amp;oe=6AA99FAF" TargetMode="External" Id="rId56" /><Relationship Type="http://schemas.openxmlformats.org/officeDocument/2006/relationships/hyperlink" Target="https://ldb-phinf.pstatic.net/20201104_84/16044688896053VXQt_JPEG/%B8%C5%C0%E5%BB%E7%C1%F8.jpg" TargetMode="External" Id="rId57" /><Relationship Type="http://schemas.openxmlformats.org/officeDocument/2006/relationships/hyperlink" Target="https://m.place.naver.com/place/32514532/home" TargetMode="External" Id="rId58" /><Relationship Type="http://schemas.openxmlformats.org/officeDocument/2006/relationships/hyperlink" Target="https://ldb-phinf.pstatic.net/20240616_109/1718542199092o471I_JPEG/%C6%D0%C5%CF.jpg" TargetMode="External" Id="rId59" /><Relationship Type="http://schemas.openxmlformats.org/officeDocument/2006/relationships/hyperlink" Target="https://m.place.naver.com/place/1138275784/home" TargetMode="External" Id="rId60" /><Relationship Type="http://schemas.openxmlformats.org/officeDocument/2006/relationships/hyperlink" Target="https://ldb-phinf.pstatic.net/20200405_273/1586064314591WLAru_JPEG/ygADkfKf5f3Du10DoaN71dCh.jpeg.jpg" TargetMode="External" Id="rId61" /><Relationship Type="http://schemas.openxmlformats.org/officeDocument/2006/relationships/hyperlink" Target="https://m.place.naver.com/place/32699825/home" TargetMode="External" Id="rId62" /><Relationship Type="http://schemas.openxmlformats.org/officeDocument/2006/relationships/hyperlink" Target="https://www.instagram.com/cardlabtcg/" TargetMode="External" Id="rId63" /><Relationship Type="http://schemas.openxmlformats.org/officeDocument/2006/relationships/hyperlink" Target="https://scontent-icn2-1.cdninstagram.com/v/t51.82787-19/524909970_18390990709132929_86695267752699505_n.jpg?stp=dst-jpg_s150x150_tt6&amp;_nc_cat=106&amp;ccb=7-5&amp;_nc_sid=f7ccc5&amp;efg=eyJ2ZW5jb2RlX3RhZyI6InByb2ZpbGVfcGljLnd3dy4xMDgwLkMzIn0%3D&amp;_nc_ohc=R8j_2P8dB_cQ7kNvwF5QqwZ&amp;_nc_oc=Adq1ysYstQjw_IhyPwcBFDdFtkWK6SsJBb8-h3emcMA0nJc-D4qApaBONiyoMB5kFoI&amp;_nc_zt=24&amp;_nc_ht=scontent-icn2-1.cdninstagram.com&amp;_nc_gid=QGmBZqdyKceLpGyDwXL5ig&amp;_nc_ss=7f60f&amp;oh=00_AQL4gThert7JYndeNFcxV1HmamCxP7yZhiIwjGR_gmIhOg&amp;oe=6AA9ACE7" TargetMode="External" Id="rId64" /><Relationship Type="http://schemas.openxmlformats.org/officeDocument/2006/relationships/hyperlink" Target="https://www.instagram.com/roy_shop_pile_island/" TargetMode="External" Id="rId65" /><Relationship Type="http://schemas.openxmlformats.org/officeDocument/2006/relationships/hyperlink" Target="https://scontent-icn2-1.cdninstagram.com/v/t51.2885-19/488218965_1181210509717523_489801826215021327_n.jpg?stp=dst-jpg_s150x150_tt6&amp;_nc_cat=108&amp;ccb=7-5&amp;_nc_sid=f7ccc5&amp;efg=eyJ2ZW5jb2RlX3RhZyI6InByb2ZpbGVfcGljLnd3dy4xMDgwLkMzIn0%3D&amp;_nc_ohc=FVXypP51KP8Q7kNvwGdmA3W&amp;_nc_oc=Adr0BDHP3kOHo9ypY1E8XL-ANa2SaF3XgovLx9u1jKAW-z7MRtI385ZYoP-ypPEr504&amp;_nc_zt=24&amp;_nc_ht=scontent-icn2-1.cdninstagram.com&amp;_nc_ss=7fa02&amp;oh=00_AQJhNGIPAPOP7B4QJpbOVSL5owsmTmTYhy1kqU0mJRIS-w&amp;oe=6AA98CDE" TargetMode="External" Id="rId66" /><Relationship Type="http://schemas.openxmlformats.org/officeDocument/2006/relationships/hyperlink" Target="https://ldb-phinf.pstatic.net/20260304_120/1772606414692xQSMO_JPEG/7_500.jpg" TargetMode="External" Id="rId67" /><Relationship Type="http://schemas.openxmlformats.org/officeDocument/2006/relationships/hyperlink" Target="https://m.place.naver.com/place/2003829345/home" TargetMode="External" Id="rId68" /><Relationship Type="http://schemas.openxmlformats.org/officeDocument/2006/relationships/hyperlink" Target="https://www.instagram.com/card_pia/" TargetMode="External" Id="rId69" /><Relationship Type="http://schemas.openxmlformats.org/officeDocument/2006/relationships/hyperlink" Target="https://scontent-icn2-1.cdninstagram.com/v/t51.82787-19/718212605_17890127916513195_3118028038496775436_n.jpg?stp=dst-jpg_s150x150_tt6&amp;_nc_cat=105&amp;ccb=7-5&amp;_nc_sid=f7ccc5&amp;efg=eyJ2ZW5jb2RlX3RhZyI6InByb2ZpbGVfcGljLnd3dy4xMDgwLkMzIn0%3D&amp;_nc_ohc=yIT7cF1efqkQ7kNvwF_xBtq&amp;_nc_oc=Ado803Lq7hzVs7Z86B6pvNJ1L_IoED-EvD70AsPIW2B-TgVLTNTsoQ5GBeuIDe5Bl3I&amp;_nc_zt=24&amp;_nc_ht=scontent-icn2-1.cdninstagram.com&amp;_nc_gid=8ALD03-FD-BCO9eofn7Z_w&amp;_nc_ss=7fa02&amp;oh=00_AQLa7bTDtOff21sIp8lftpPN3136-ZfPBD1ZmUaeKE_Ttw&amp;oe=6AA9AA04" TargetMode="External" Id="rId70" /><Relationship Type="http://schemas.openxmlformats.org/officeDocument/2006/relationships/hyperlink" Target="https://m.place.naver.com/place/35586783/home" TargetMode="External" Id="rId71" /><Relationship Type="http://schemas.openxmlformats.org/officeDocument/2006/relationships/hyperlink" Target="https://ldb-phinf.pstatic.net/20240901_23/1725169439673SUBJn_JPEG/Y6NoZM5O_400x400.jpg" TargetMode="External" Id="rId72" /><Relationship Type="http://schemas.openxmlformats.org/officeDocument/2006/relationships/hyperlink" Target="https://m.place.naver.com/place/1989469159/home" TargetMode="External" Id="rId73" /><Relationship Type="http://schemas.openxmlformats.org/officeDocument/2006/relationships/hyperlink" Target="https://ldb-phinf.pstatic.net/20240511_281/1715400217678HTqqe_JPEG/JPG_2.jpg" TargetMode="External" Id="rId74" /><Relationship Type="http://schemas.openxmlformats.org/officeDocument/2006/relationships/hyperlink" Target="https://m.place.naver.com/place/1867890566/home" TargetMode="External" Id="rId75" /><Relationship Type="http://schemas.openxmlformats.org/officeDocument/2006/relationships/hyperlink" Target="https://ldb-phinf.pstatic.net/20200930_232/1601424477822Vi4DG_JPEG/-kjWbcJ2RPhf95owh298XEO0.jpg" TargetMode="External" Id="rId76" /><Relationship Type="http://schemas.openxmlformats.org/officeDocument/2006/relationships/hyperlink" Target="https://m.place.naver.com/place/1221088288/home" TargetMode="External" Id="rId77" /><Relationship Type="http://schemas.openxmlformats.org/officeDocument/2006/relationships/hyperlink" Target="https://ldb-phinf.pstatic.net/20230620_219/168718838020818c45_JPEG/KakaoTalk_20230620_002606995.jpg" TargetMode="External" Id="rId78" /><Relationship Type="http://schemas.openxmlformats.org/officeDocument/2006/relationships/hyperlink" Target="https://m.place.naver.com/place/1488742401/home" TargetMode="External" Id="rId79" /><Relationship Type="http://schemas.openxmlformats.org/officeDocument/2006/relationships/hyperlink" Target="https://ldb-phinf.pstatic.net/20260630_88/1782800436649EL2Rp_JPEG/1000020427.jpg" TargetMode="External" Id="rId80" /><Relationship Type="http://schemas.openxmlformats.org/officeDocument/2006/relationships/hyperlink" Target="https://m.place.naver.com/place/2070815016/home" TargetMode="External" Id="rId81" /><Relationship Type="http://schemas.openxmlformats.org/officeDocument/2006/relationships/hyperlink" Target="https://ldb-phinf.pstatic.net/20230827_204/16931463010319wYz3_JPEG/IMG_1126.jpeg" TargetMode="External" Id="rId82" /><Relationship Type="http://schemas.openxmlformats.org/officeDocument/2006/relationships/hyperlink" Target="https://m.place.naver.com/place/1445926627/home" TargetMode="External" Id="rId83" /><Relationship Type="http://schemas.openxmlformats.org/officeDocument/2006/relationships/hyperlink" Target="https://gw.iparkmall.co.kr/shop/brandimg.do?brandCod=002766" TargetMode="External" Id="rId84" /><Relationship Type="http://schemas.openxmlformats.org/officeDocument/2006/relationships/hyperlink" Target="https://m.place.naver.com/place/1670065886/home" TargetMode="External" Id="rId85" /><Relationship Type="http://schemas.openxmlformats.org/officeDocument/2006/relationships/hyperlink" Target="https://www.instagram.com/hobbygamemall/" TargetMode="External" Id="rId86" /><Relationship Type="http://schemas.openxmlformats.org/officeDocument/2006/relationships/hyperlink" Target="https://scontent-icn2-1.cdninstagram.com/v/t51.2885-19/47690002_307027629931125_5324351840228212736_n.jpg?stp=dst-jpg_s150x150_tt6&amp;_nc_cat=105&amp;ccb=7-5&amp;_nc_sid=f7ccc5&amp;efg=eyJ2ZW5jb2RlX3RhZyI6InByb2ZpbGVfcGljLnd3dy42NDAuQzMifQ%3D%3D&amp;_nc_ohc=7vPn5ityCj4Q7kNvwE5VFhY&amp;_nc_oc=AddrZ5kwMlH_qDS_3_TiRchgWqxlK4YXAAxqgf9yU-CivBL56XXt0NpzB-KX2KThWyXc&amp;_nc_zt=24&amp;_nc_ht=scontent-icn2-1.cdninstagram.com&amp;_nc_ss=7fa02&amp;oh=00_AQJahwTpOhRxqrYkzbJ7izLK59tIkrO2rk_XLJVPgHrjUw&amp;oe=6AA99042" TargetMode="External" Id="rId87" /><Relationship Type="http://schemas.openxmlformats.org/officeDocument/2006/relationships/hyperlink" Target="https://www.instagram.com/tcg.lifelink/" TargetMode="External" Id="rId88" /><Relationship Type="http://schemas.openxmlformats.org/officeDocument/2006/relationships/hyperlink" Target="https://ldb-phinf.pstatic.net/20241015_141/1728964952444bd316_PNG/%BF%CF%BC%BA%C7%FC_%C3%CA%B7%CF%B9%E8%B0%E6_%BA%A3%C0%CC%C1%F6%B7%CE%B0%ED.png" TargetMode="External" Id="rId89" /><Relationship Type="http://schemas.openxmlformats.org/officeDocument/2006/relationships/hyperlink" Target="https://scontent-icn2-1.cdninstagram.com/v/t51.2885-19/462954681_2538967579646019_4097142679042648000_n.jpg?stp=dst-jpg_s150x150_tt6&amp;_nc_cat=100&amp;ccb=7-5&amp;_nc_sid=f7ccc5&amp;efg=eyJ2ZW5jb2RlX3RhZyI6InByb2ZpbGVfcGljLnd3dy4xMDgwLkMzIn0%3D&amp;_nc_ohc=LtV36Mh8idUQ7kNvwGpwaas&amp;_nc_oc=AdrOU4oxzPfnugvCZdfiXY4k8O7zWeT4Id56gExr0NoRt1MO8hjtQuaKT4K0CHzf9fk&amp;_nc_zt=24&amp;_nc_ht=scontent-icn2-1.cdninstagram.com&amp;_nc_ss=7fa02&amp;oh=00_AQJv0LmrCzLr819v8dydXud5Ep_aWAXOoZgUw7iauDSiUQ&amp;oe=6AA99AE1" TargetMode="External" Id="rId90" /><Relationship Type="http://schemas.openxmlformats.org/officeDocument/2006/relationships/hyperlink" Target="https://m.place.naver.com/place/1563792469/home" TargetMode="External" Id="rId91" /><Relationship Type="http://schemas.openxmlformats.org/officeDocument/2006/relationships/hyperlink" Target="https://ldb-phinf.pstatic.net/20260309_140/177304761172734eIF_PNG/KakaoTalk_20250919_133510284_02.png" TargetMode="External" Id="rId92" /><Relationship Type="http://schemas.openxmlformats.org/officeDocument/2006/relationships/hyperlink" Target="https://m.place.naver.com/place/2064690284/home" TargetMode="External" Id="rId93" /><Relationship Type="http://schemas.openxmlformats.org/officeDocument/2006/relationships/hyperlink" Target="https://m.place.naver.com/place/1327567091/home" TargetMode="External" Id="rId94" /><Relationship Type="http://schemas.openxmlformats.org/officeDocument/2006/relationships/hyperlink" Target="https://ldb-phinf.pstatic.net/20260701_20/1782871089969Y7rCg_JPEG/111.jpg" TargetMode="External" Id="rId95" /><Relationship Type="http://schemas.openxmlformats.org/officeDocument/2006/relationships/hyperlink" Target="https://m.place.naver.com/place/2095764876/home" TargetMode="External" Id="rId96" /><Relationship Type="http://schemas.openxmlformats.org/officeDocument/2006/relationships/hyperlink" Target="https://www.instagram.com/mtg_osan_tabletop/" TargetMode="External" Id="rId97" /><Relationship Type="http://schemas.openxmlformats.org/officeDocument/2006/relationships/hyperlink" Target="https://ldb-phinf.pstatic.net/20240802_254/17225562903370Jlxq_JPEG/KakaoTalk_20240801_162835764.jpg" TargetMode="External" Id="rId98" /><Relationship Type="http://schemas.openxmlformats.org/officeDocument/2006/relationships/hyperlink" Target="https://scontent-icn2-1.cdninstagram.com/v/t51.82787-19/588564798_18068686598567060_4446960302598838146_n.jpg?stp=dst-jpg_s150x150_tt6&amp;_nc_cat=101&amp;ccb=7-5&amp;_nc_sid=f7ccc5&amp;efg=eyJ2ZW5jb2RlX3RhZyI6InByb2ZpbGVfcGljLnd3dy41NTMuQzMifQ%3D%3D&amp;_nc_ohc=u7qWjBt3f5YQ7kNvwHFpJFw&amp;_nc_oc=Adou3H1IWJv-1dx5IMmtYCYyAD_AEjgtEtfhVJMZBrgwwmjbym5OSYKXRISvfJSPtrM&amp;_nc_zt=24&amp;_nc_ht=scontent-icn2-1.cdninstagram.com&amp;_nc_gid=Qcm5xd4NQBCKfVRIV1zwiQ&amp;_nc_ss=7fa02&amp;oh=00_AQK5mZRFDBTOp1ayizAcBuxWHjxqb-cTmBosKsqgzK0VfQ&amp;oe=6AA9FC12" TargetMode="External" Id="rId99" /><Relationship Type="http://schemas.openxmlformats.org/officeDocument/2006/relationships/hyperlink" Target="https://m.place.naver.com/place/1727987183/home" TargetMode="External" Id="rId100" /><Relationship Type="http://schemas.openxmlformats.org/officeDocument/2006/relationships/hyperlink" Target="https://www.instagram.com/urara_pt/" TargetMode="External" Id="rId101" /><Relationship Type="http://schemas.openxmlformats.org/officeDocument/2006/relationships/hyperlink" Target="https://ldb-phinf.pstatic.net/20260716_44/1784128806040Yzg7w_JPEG/IMG_0579.jpg" TargetMode="External" Id="rId102" /><Relationship Type="http://schemas.openxmlformats.org/officeDocument/2006/relationships/hyperlink" Target="https://scontent-icn2-1.cdninstagram.com/v/t51.82787-19/783485999_18084064595345202_5801415439498072594_n.jpg?stp=dst-jpg_s150x150_tt6&amp;_nc_cat=109&amp;ccb=7-5&amp;_nc_sid=f7ccc5&amp;efg=eyJ2ZW5jb2RlX3RhZyI6InByb2ZpbGVfcGljLnd3dy4xMDgwLkMzIn0%3D&amp;_nc_ohc=jYI7rnaDtBQQ7kNvwExLemj&amp;_nc_oc=AdrI7Fa1W1Vj7LuXcdN4hviH00aVNckH5qz4gw_9EintPzoyP0HOMJnNNvttKLDM16Q&amp;_nc_zt=24&amp;_nc_ht=scontent-icn2-1.cdninstagram.com&amp;_nc_gid=p-vS1wlgt4VOWePARTrj6w&amp;_nc_ss=7fa02&amp;oh=00_AQIC0eqxr7MbFPUJzmt8u68qkxpWWxaD6p0bm_ckoQphgw&amp;oe=6AA9B6A0" TargetMode="External" Id="rId103" /><Relationship Type="http://schemas.openxmlformats.org/officeDocument/2006/relationships/hyperlink" Target="https://m.place.naver.com/place/2013441144/home" TargetMode="External" Id="rId104" /><Relationship Type="http://schemas.openxmlformats.org/officeDocument/2006/relationships/hyperlink" Target="https://www.instagram.com/card_pt/" TargetMode="External" Id="rId105" /><Relationship Type="http://schemas.openxmlformats.org/officeDocument/2006/relationships/hyperlink" Target="https://ldb-phinf.pstatic.net/20260722_274/1784730533221tDwhJ_JPEG/IMG_0665.jpg" TargetMode="External" Id="rId106" /><Relationship Type="http://schemas.openxmlformats.org/officeDocument/2006/relationships/hyperlink" Target="https://scontent-icn2-1.cdninstagram.com/v/t51.82787-19/754308410_18057047807549609_2168971081021419351_n.jpg?stp=dst-jpg_s150x150_tt6&amp;_nc_cat=102&amp;ccb=7-5&amp;_nc_sid=f7ccc5&amp;efg=eyJ2ZW5jb2RlX3RhZyI6InByb2ZpbGVfcGljLnd3dy42NTUuQzMifQ%3D%3D&amp;_nc_ohc=ZgWaz_UzS0cQ7kNvwEB9WNN&amp;_nc_oc=AdoMLY63jzXbvwywCIy-WbIKbWxZI-vifIJBUXqRCaj75oLD0LeW5q78mygPFKUKFZg&amp;_nc_zt=24&amp;_nc_ht=scontent-icn2-1.cdninstagram.com&amp;_nc_gid=qAuDgL3DTjL0DOHE2PMRUA&amp;_nc_ss=7fa02&amp;oh=00_AQIDhczAAczTiKZxbvRSeHGP26VVjnHti21M5cxttfT24w&amp;oe=6AA98C7D" TargetMode="External" Id="rId107" /><Relationship Type="http://schemas.openxmlformats.org/officeDocument/2006/relationships/hyperlink" Target="https://m.place.naver.com/place/1045652104/home" TargetMode="External" Id="rId108" /><Relationship Type="http://schemas.openxmlformats.org/officeDocument/2006/relationships/hyperlink" Target="https://www.instagram.com/suwoncardplanet/" TargetMode="External" Id="rId109" /><Relationship Type="http://schemas.openxmlformats.org/officeDocument/2006/relationships/hyperlink" Target="https://ldb-phinf.pstatic.net/20230330_298/1680145529289tJ9IU_PNG/KakaoTalk_20220801_160539602.png" TargetMode="External" Id="rId110" /><Relationship Type="http://schemas.openxmlformats.org/officeDocument/2006/relationships/hyperlink" Target="https://scontent-icn2-1.cdninstagram.com/v/t51.2885-19/315442935_615142147060230_208356614693345007_n.jpg?stp=dst-jpg_s150x150_tt6&amp;_nc_cat=107&amp;ccb=7-5&amp;_nc_sid=f7ccc5&amp;efg=eyJ2ZW5jb2RlX3RhZyI6InByb2ZpbGVfcGljLnd3dy4xMDgwLkMzIn0%3D&amp;_nc_ohc=mwMCPcnukbsQ7kNvwHH0lNn&amp;_nc_oc=AdpaLgxE2tKDtUhrhFGjLQwIqQfRHJrCaiWVFgBAZef4_-tEuz8tyF6dFfdjNKE4WM8&amp;_nc_zt=24&amp;_nc_ht=scontent-icn2-1.cdninstagram.com&amp;_nc_ss=7fa02&amp;oh=00_AQLYT-m7dEs08vsaI39_eLBnvVbFkZnrmP1-NOlfLOgELw&amp;oe=6AAA10E2" TargetMode="External" Id="rId111" /><Relationship Type="http://schemas.openxmlformats.org/officeDocument/2006/relationships/hyperlink" Target="https://m.place.naver.com/place/1755165875/home" TargetMode="External" Id="rId112" /><Relationship Type="http://schemas.openxmlformats.org/officeDocument/2006/relationships/hyperlink" Target="https://ldb-phinf.pstatic.net/20250610_171/1749487326306Wuzw0_PNG/%BD%BA%C5%A9%B8%B0%BC%A6_2025-05-21_161131.png" TargetMode="External" Id="rId113" /><Relationship Type="http://schemas.openxmlformats.org/officeDocument/2006/relationships/hyperlink" Target="https://m.place.naver.com/place/2066110638/home" TargetMode="External" Id="rId114" /><Relationship Type="http://schemas.openxmlformats.org/officeDocument/2006/relationships/hyperlink" Target="https://ldb-phinf.pstatic.net/20231022_249/1697955600989uCmUQ_JPEG/1697955595359.jpg" TargetMode="External" Id="rId115" /><Relationship Type="http://schemas.openxmlformats.org/officeDocument/2006/relationships/hyperlink" Target="https://m.place.naver.com/place/1160812836/home" TargetMode="External" Id="rId116" /><Relationship Type="http://schemas.openxmlformats.org/officeDocument/2006/relationships/hyperlink" Target="https://www.instagram.com/hobbygamemall/" TargetMode="External" Id="rId117" /><Relationship Type="http://schemas.openxmlformats.org/officeDocument/2006/relationships/hyperlink" Target="https://ldb-phinf.pstatic.net/20190101_44/1546348655695F6wFp_JPEG/_EFB0INGplDRQeQa8rcb84Kz.JPG.jpg" TargetMode="External" Id="rId118" /><Relationship Type="http://schemas.openxmlformats.org/officeDocument/2006/relationships/hyperlink" Target="https://scontent-icn2-1.cdninstagram.com/v/t51.2885-19/47690002_307027629931125_5324351840228212736_n.jpg?stp=dst-jpg_s150x150_tt6&amp;_nc_cat=105&amp;ccb=7-5&amp;_nc_sid=f7ccc5&amp;efg=eyJ2ZW5jb2RlX3RhZyI6InByb2ZpbGVfcGljLnd3dy42NDAuQzMifQ%3D%3D&amp;_nc_ohc=7vPn5ityCj4Q7kNvwE5VFhY&amp;_nc_oc=AddrZ5kwMlH_qDS_3_TiRchgWqxlK4YXAAxqgf9yU-CivBL56XXt0NpzB-KX2KThWyXc&amp;_nc_zt=24&amp;_nc_ht=scontent-icn2-1.cdninstagram.com&amp;_nc_ss=7fa02&amp;oh=00_AQJahwTpOhRxqrYkzbJ7izLK59tIkrO2rk_XLJVPgHrjUw&amp;oe=6AA99042" TargetMode="External" Id="rId119" /><Relationship Type="http://schemas.openxmlformats.org/officeDocument/2006/relationships/hyperlink" Target="https://m.place.naver.com/place/36849167/home" TargetMode="External" Id="rId120" /><Relationship Type="http://schemas.openxmlformats.org/officeDocument/2006/relationships/hyperlink" Target="https://www.instagram.com/lab.trainers/" TargetMode="External" Id="rId121" /><Relationship Type="http://schemas.openxmlformats.org/officeDocument/2006/relationships/hyperlink" Target="https://ldb-phinf.pstatic.net/20230913_57/16945991556722PQLf_JPEG/%C6%AE%B7%B9%C0%CC%B3%CA%BD%BA_resize.jpg" TargetMode="External" Id="rId122" /><Relationship Type="http://schemas.openxmlformats.org/officeDocument/2006/relationships/hyperlink" Target="https://scontent-icn2-1.cdninstagram.com/v/t51.2885-19/370347621_771611468033519_4967472333383283159_n.jpg?stp=dst-jpg_s150x150_tt6&amp;_nc_cat=105&amp;ccb=7-5&amp;_nc_sid=f7ccc5&amp;efg=eyJ2ZW5jb2RlX3RhZyI6InByb2ZpbGVfcGljLnd3dy4xMDgwLkMzIn0%3D&amp;_nc_ohc=-572JV8Ske0Q7kNvwGD-AiX&amp;_nc_oc=Ado5AjP2ja4WNzh-6U-I1eThUE6JS9sx1wCXGKwkxRXdV5-91mW9Rw3uWmVrwfsVF30&amp;_nc_zt=24&amp;_nc_ht=scontent-icn2-1.cdninstagram.com&amp;_nc_ss=7fa02&amp;oh=00_AQKwGPPAzHJpbYK9j0EcQXTE5pxBDWqPA0tFy6NaqiBJnA&amp;oe=6AA9AF3C" TargetMode="External" Id="rId123" /><Relationship Type="http://schemas.openxmlformats.org/officeDocument/2006/relationships/hyperlink" Target="https://m.place.naver.com/place/1334699097/home" TargetMode="External" Id="rId124" /><Relationship Type="http://schemas.openxmlformats.org/officeDocument/2006/relationships/hyperlink" Target="https://m.place.naver.com/place/31368045/home" TargetMode="External" Id="rId125" /><Relationship Type="http://schemas.openxmlformats.org/officeDocument/2006/relationships/hyperlink" Target="https://www.instagram.com/lastcg_77/" TargetMode="External" Id="rId126" /><Relationship Type="http://schemas.openxmlformats.org/officeDocument/2006/relationships/hyperlink" Target="https://ldb-phinf.pstatic.net/20250524_271/1748095401662LSJla_PNG/LASTCG_%B7%CE%B0%ED.png" TargetMode="External" Id="rId127" /><Relationship Type="http://schemas.openxmlformats.org/officeDocument/2006/relationships/hyperlink" Target="https://scontent-icn2-1.cdninstagram.com/v/t51.75761-19/500660834_17842894260498766_2160467018666440374_n.jpg?stp=dst-jpg_s150x150_tt6&amp;_nc_cat=103&amp;ccb=7-5&amp;_nc_sid=f7ccc5&amp;efg=eyJ2ZW5jb2RlX3RhZyI6InByb2ZpbGVfcGljLnd3dy41MDAuQzMifQ%3D%3D&amp;_nc_ohc=cL0BuimB33gQ7kNvwFD39Bw&amp;_nc_oc=Adoi9hddj7h3pCEnbPqoqCAS67P4oWO4PGQ0AoK5O1qjx9uHqGKdUUtxGW3MyX3uWOc&amp;_nc_zt=24&amp;_nc_ht=scontent-icn2-1.cdninstagram.com&amp;_nc_gid=lYAEH6S3a8bNcfIAYgGjbw&amp;_nc_ss=7fa02&amp;oh=00_AQLwCczsDztiusrGlXcc4lCOJD4Bxsz6-2E4GqJjc1Kp8A&amp;oe=6AA992BB" TargetMode="External" Id="rId128" /><Relationship Type="http://schemas.openxmlformats.org/officeDocument/2006/relationships/hyperlink" Target="https://m.place.naver.com/place/2071207043/home" TargetMode="External" Id="rId129" /><Relationship Type="http://schemas.openxmlformats.org/officeDocument/2006/relationships/hyperlink" Target="https://www.instagram.com/tcg_line/" TargetMode="External" Id="rId130" /><Relationship Type="http://schemas.openxmlformats.org/officeDocument/2006/relationships/hyperlink" Target="https://ldb-phinf.pstatic.net/20260903_123/1788424763465JVIOt_JPEG/00.jpg" TargetMode="External" Id="rId131" /><Relationship Type="http://schemas.openxmlformats.org/officeDocument/2006/relationships/hyperlink" Target="https://scontent-icn2-1.cdninstagram.com/v/t51.82787-19/779816676_18087141674328884_6323978719720261937_n.jpg?stp=dst-jpg_s150x150_tt6&amp;_nc_cat=104&amp;ccb=7-5&amp;_nc_sid=f7ccc5&amp;efg=eyJ2ZW5jb2RlX3RhZyI6InByb2ZpbGVfcGljLnd3dy40ODAuQzMifQ%3D%3D&amp;_nc_ohc=b8l8m5YYFmkQ7kNvwGDeysV&amp;_nc_oc=AdoeAd5SE1SfxkqxjaFRfoSi2m0_HJ79szdzTeTcNF2ZcRqSEQNZe7wfoGHHjuGxNKk&amp;_nc_zt=24&amp;_nc_ht=scontent-icn2-1.cdninstagram.com&amp;_nc_gid=wQ8JfWjcNxFJZVHjrUaejA&amp;_nc_ss=7fa02&amp;oh=00_AQLovb_PABUPghUD-Tx3TG0T5glA35kfXPeEGJNSeK0Gtw&amp;oe=6AA997F9" TargetMode="External" Id="rId132" /><Relationship Type="http://schemas.openxmlformats.org/officeDocument/2006/relationships/hyperlink" Target="https://m.place.naver.com/place/2045368588/home" TargetMode="External" Id="rId133" /><Relationship Type="http://schemas.openxmlformats.org/officeDocument/2006/relationships/hyperlink" Target="https://ldb-phinf.pstatic.net/20240508_257/1715152963466EXm1t_PNG/KakaoTalk_20240415_035409.png" TargetMode="External" Id="rId134" /><Relationship Type="http://schemas.openxmlformats.org/officeDocument/2006/relationships/hyperlink" Target="https://m.place.naver.com/place/1029984732/home" TargetMode="External" Id="rId135" /><Relationship Type="http://schemas.openxmlformats.org/officeDocument/2006/relationships/hyperlink" Target="https://www.instagram.com/cardmate_korea/" TargetMode="External" Id="rId136" /><Relationship Type="http://schemas.openxmlformats.org/officeDocument/2006/relationships/hyperlink" Target="https://ldb-phinf.pstatic.net/20260903_299/178844198444938uXX_JPEG/Gemini_Generated_Image_9qinaz9qinaz9qin.jpg" TargetMode="External" Id="rId137" /><Relationship Type="http://schemas.openxmlformats.org/officeDocument/2006/relationships/hyperlink" Target="https://scontent-icn2-1.cdninstagram.com/v/t51.82787-19/771453191_18138763717584919_8124476849767621457_n.jpg?stp=dst-jpg_s150x150_tt6&amp;_nc_cat=107&amp;ccb=7-5&amp;_nc_sid=f7ccc5&amp;efg=eyJ2ZW5jb2RlX3RhZyI6InByb2ZpbGVfcGljLnd3dy40MDAuQzMifQ%3D%3D&amp;_nc_ohc=ueen-nkcBO4Q7kNvwFmt1K5&amp;_nc_oc=AdoVCBBo9ewq9iaMXybOm4Yjs9NArmg-7tWawvbM_W8J1DDwYFtM9WbrjvBizLVXdSY&amp;_nc_zt=24&amp;_nc_ht=scontent-icn2-1.cdninstagram.com&amp;_nc_gid=zp8FlkzDwptNjI_Y-od8fg&amp;_nc_ss=7f60f&amp;oh=00_AQLf2lRWO3aK9nYEnMb7xbQ1EB09MVcwBtuAmRtWmHTgSg&amp;oe=6AA986A9" TargetMode="External" Id="rId138" /><Relationship Type="http://schemas.openxmlformats.org/officeDocument/2006/relationships/hyperlink" Target="https://m.place.naver.com/place/2097078916/home" TargetMode="External" Id="rId139" /><Relationship Type="http://schemas.openxmlformats.org/officeDocument/2006/relationships/hyperlink" Target="https://m.place.naver.com/place/37111987/home" TargetMode="External" Id="rId140" /><Relationship Type="http://schemas.openxmlformats.org/officeDocument/2006/relationships/hyperlink" Target="https://www.instagram.com/hero_incheon/" TargetMode="External" Id="rId141" /><Relationship Type="http://schemas.openxmlformats.org/officeDocument/2006/relationships/hyperlink" Target="https://scontent-icn2-1.cdninstagram.com/v/t51.2885-19/154288014_1171115076682637_9007876840583406219_n.jpg?stp=dst-jpg_s150x150_tt6&amp;_nc_cat=107&amp;ccb=7-5&amp;_nc_sid=f7ccc5&amp;efg=eyJ2ZW5jb2RlX3RhZyI6InByb2ZpbGVfcGljLnd3dy40MDAuQzMifQ%3D%3D&amp;_nc_ohc=wAXo6AK8b98Q7kNvwFruWoL&amp;_nc_oc=Ado0ssMs5d7ZO5aZMhwk5RL6Yb8dh1N_oCybyg10uUGqq0V5HkJv5j0iItsZhwSwk9U&amp;_nc_zt=24&amp;_nc_ht=scontent-icn2-1.cdninstagram.com&amp;_nc_ss=7fa02&amp;oh=00_AQKIJOLouVDRW3_51LaRpA-MQ0ujWELL_QdSLSXZonyvUg&amp;oe=6AAA165E" TargetMode="External" Id="rId142" /><Relationship Type="http://schemas.openxmlformats.org/officeDocument/2006/relationships/hyperlink" Target="https://m.place.naver.com/place/2051932856/home" TargetMode="External" Id="rId143" /><Relationship Type="http://schemas.openxmlformats.org/officeDocument/2006/relationships/hyperlink" Target="https://www.instagram.com/card_pop_tcg/" TargetMode="External" Id="rId144" /><Relationship Type="http://schemas.openxmlformats.org/officeDocument/2006/relationships/hyperlink" Target="https://ldb-phinf.pstatic.net/20230324_276/1679637980888PyG43_PNG/01_MAIN_LOGO.png" TargetMode="External" Id="rId145" /><Relationship Type="http://schemas.openxmlformats.org/officeDocument/2006/relationships/hyperlink" Target="https://scontent-icn2-1.cdninstagram.com/v/t51.2885-19/309069098_800997834571738_650317083911657848_n.jpg?stp=dst-jpg_s150x150_tt6&amp;_nc_cat=110&amp;ccb=7-5&amp;_nc_sid=f7ccc5&amp;efg=eyJ2ZW5jb2RlX3RhZyI6InByb2ZpbGVfcGljLnd3dy4yNDQuQzMifQ%3D%3D&amp;_nc_ohc=Zv4vqidachoQ7kNvwG1Ps25&amp;_nc_oc=AdpLvTxPR7mX9y8mns-XzA4AqnYsTT2RYKK4mQYm_VohSrxMQeGjL5S3ejdACaOCYYo&amp;_nc_zt=24&amp;_nc_ht=scontent-icn2-1.cdninstagram.com&amp;_nc_ss=7fa02&amp;oh=00_AQIOwSHXQRmrVzl46eo2N3SQJ4IkhO_NGCwefKOpHzlqzA&amp;oe=6AA9FC37" TargetMode="External" Id="rId146" /><Relationship Type="http://schemas.openxmlformats.org/officeDocument/2006/relationships/hyperlink" Target="https://m.place.naver.com/place/1120783123/home" TargetMode="External" Id="rId147" /><Relationship Type="http://schemas.openxmlformats.org/officeDocument/2006/relationships/hyperlink" Target="https://ldb-phinf.pstatic.net/20251006_259/1759726573225QB8Mg_JPEG/KakaoTalk_20251006_132604522.jpg" TargetMode="External" Id="rId148" /><Relationship Type="http://schemas.openxmlformats.org/officeDocument/2006/relationships/hyperlink" Target="https://m.place.naver.com/place/2069463119/home" TargetMode="External" Id="rId149" /><Relationship Type="http://schemas.openxmlformats.org/officeDocument/2006/relationships/hyperlink" Target="https://ldb-phinf.pstatic.net/20230404_115/1680589329104xT1cI_PNG/1667622403360.png" TargetMode="External" Id="rId150" /><Relationship Type="http://schemas.openxmlformats.org/officeDocument/2006/relationships/hyperlink" Target="https://m.place.naver.com/place/1623751793/home" TargetMode="External" Id="rId151" /><Relationship Type="http://schemas.openxmlformats.org/officeDocument/2006/relationships/hyperlink" Target="https://ldb-phinf.pstatic.net/20260904_223/1788504917017UOesV_JPEG/1788493816869.jpg" TargetMode="External" Id="rId152" /><Relationship Type="http://schemas.openxmlformats.org/officeDocument/2006/relationships/hyperlink" Target="https://m.place.naver.com/place/2022221043/home" TargetMode="External" Id="rId153" /><Relationship Type="http://schemas.openxmlformats.org/officeDocument/2006/relationships/hyperlink" Target="https://www.instagram.com/cardslash_cj/" TargetMode="External" Id="rId154" /><Relationship Type="http://schemas.openxmlformats.org/officeDocument/2006/relationships/hyperlink" Target="https://scontent-icn2-1.cdninstagram.com/v/t51.75761-19/500294408_17865540129392077_2329426423432605723_n.jpg?stp=dst-jpg_s150x150_tt6&amp;_nc_cat=106&amp;ccb=7-5&amp;_nc_sid=f7ccc5&amp;efg=eyJ2ZW5jb2RlX3RhZyI6InByb2ZpbGVfcGljLnd3dy4xMDgwLkMzIn0%3D&amp;_nc_ohc=3AJYrRNbQ68Q7kNvwH_1sME&amp;_nc_oc=Adq2k9j422W9npbWNKXy6PC2IaQK70oe3qBOzb5Qs5BKcb1C_cJxg71VLk_BseqdhKs&amp;_nc_zt=24&amp;_nc_ht=scontent-icn2-1.cdninstagram.com&amp;_nc_gid=tJ-3CR_JHkbvasds2bIM8g&amp;_nc_ss=7fa02&amp;oh=00_AQLVNfPlR8T9xCOb7gisCs_7rcUz__icyxqrKTxL1f3O-A&amp;oe=6AA9A8A9" TargetMode="External" Id="rId155" /><Relationship Type="http://schemas.openxmlformats.org/officeDocument/2006/relationships/hyperlink" Target="https://m.place.naver.com/place/2042453777/home" TargetMode="External" Id="rId156" /><Relationship Type="http://schemas.openxmlformats.org/officeDocument/2006/relationships/hyperlink" Target="https://ldb-phinf.pstatic.net/20250115_224/17369218518454IqAV_JPEG/KakaoTalk_20250115_151300632.jpg" TargetMode="External" Id="rId157" /><Relationship Type="http://schemas.openxmlformats.org/officeDocument/2006/relationships/hyperlink" Target="https://m.place.naver.com/place/1039038712/home" TargetMode="External" Id="rId158" /><Relationship Type="http://schemas.openxmlformats.org/officeDocument/2006/relationships/hyperlink" Target="https://ldb-phinf.pstatic.net/20241023_227/1729664582709XabMj_JPEG/KakaoTalk_20241023_151914453_02.jpg" TargetMode="External" Id="rId159" /><Relationship Type="http://schemas.openxmlformats.org/officeDocument/2006/relationships/hyperlink" Target="https://m.place.naver.com/place/1094957156/home" TargetMode="External" Id="rId160" /><Relationship Type="http://schemas.openxmlformats.org/officeDocument/2006/relationships/hyperlink" Target="https://www.instagram.com/cardprime_cheonan/" TargetMode="External" Id="rId161" /><Relationship Type="http://schemas.openxmlformats.org/officeDocument/2006/relationships/hyperlink" Target="https://scontent-icn2-1.cdninstagram.com/v/t51.82787-19/753652075_18073283945413101_8733155674006592954_n.jpg?stp=dst-jpg_s150x150_tt6&amp;_nc_cat=105&amp;ccb=7-5&amp;_nc_sid=f7ccc5&amp;efg=eyJ2ZW5jb2RlX3RhZyI6InByb2ZpbGVfcGljLnd3dy41ODIuQzMifQ%3D%3D&amp;_nc_ohc=Hcc2O8LtlVkQ7kNvwGGdQqg&amp;_nc_oc=AdpexZvqlyVCYxmc6Ko0WpwOuhAUiawFV7UclyIXQd_sr52QyOfvhpuNj_6sf0FBijM&amp;_nc_zt=24&amp;_nc_ht=scontent-icn2-1.cdninstagram.com&amp;_nc_gid=8YBmi33O8WkYR3bnkujv2g&amp;_nc_ss=7fa02&amp;oh=00_AQL-63gVZ4ZnauBBREaRa7-nQwSpGngq6O3UvxWsmdCcfg&amp;oe=6AAA1211" TargetMode="External" Id="rId162" /><Relationship Type="http://schemas.openxmlformats.org/officeDocument/2006/relationships/hyperlink" Target="https://www.instagram.com/tcg.korea/" TargetMode="External" Id="rId163" /><Relationship Type="http://schemas.openxmlformats.org/officeDocument/2006/relationships/hyperlink" Target="https://scontent-icn2-1.cdninstagram.com/v/t51.2885-19/475213441_963916098589214_339027353845888482_n.jpg?stp=dst-jpg_s150x150_tt6&amp;_nc_cat=107&amp;ccb=7-5&amp;_nc_sid=f7ccc5&amp;efg=eyJ2ZW5jb2RlX3RhZyI6InByb2ZpbGVfcGljLnd3dy4xMDgwLkMzIn0%3D&amp;_nc_ohc=_H6APxHHzA8Q7kNvwFGVkuh&amp;_nc_oc=AdoGnbC4xodvM9C4SLvriO67V3UEsjIn28AO4rNGbIfsH1YcTWfsmLcH5NmZVmjnzD8&amp;_nc_zt=24&amp;_nc_ht=scontent-icn2-1.cdninstagram.com&amp;_nc_ss=7fa02&amp;oh=00_AQIiwFzTUihSutUaHHo3iDlpCBZqx1xw-rhT3wdhh9-eLQ&amp;oe=6AA9EB84" TargetMode="External" Id="rId164" /><Relationship Type="http://schemas.openxmlformats.org/officeDocument/2006/relationships/hyperlink" Target="https://m.place.naver.com/place/1080108673/home" TargetMode="External" Id="rId165" /><Relationship Type="http://schemas.openxmlformats.org/officeDocument/2006/relationships/hyperlink" Target="https://ldb-phinf.pstatic.net/20260831_78/1788156984738iLnb6_JPEG/%C1%A6%B8%F1_%BE%F8%C0%BD.jpg" TargetMode="External" Id="rId166" /><Relationship Type="http://schemas.openxmlformats.org/officeDocument/2006/relationships/hyperlink" Target="https://m.place.naver.com/place/1024688294/home" TargetMode="External" Id="rId167" /><Relationship Type="http://schemas.openxmlformats.org/officeDocument/2006/relationships/hyperlink" Target="https://ldb-phinf.pstatic.net/20231103_235/1698937808827eor6M_JPEG/8Y7BB9Jf_400x400.jpg" TargetMode="External" Id="rId168" /><Relationship Type="http://schemas.openxmlformats.org/officeDocument/2006/relationships/hyperlink" Target="https://m.place.naver.com/place/1904594397/home" TargetMode="External" Id="rId169" /><Relationship Type="http://schemas.openxmlformats.org/officeDocument/2006/relationships/hyperlink" Target="https://ldb-phinf.pstatic.net/20251218_40/1766024599628DxW4E_JPEG/_MG_0425.JPG" TargetMode="External" Id="rId170" /><Relationship Type="http://schemas.openxmlformats.org/officeDocument/2006/relationships/hyperlink" Target="https://m.place.naver.com/place/1031625380/home" TargetMode="External" Id="rId171" /><Relationship Type="http://schemas.openxmlformats.org/officeDocument/2006/relationships/hyperlink" Target="https://ldb-phinf.pstatic.net/20220626_116/1656239027946kgviJ_JPEG/20220625_191922_.jpg" TargetMode="External" Id="rId172" /><Relationship Type="http://schemas.openxmlformats.org/officeDocument/2006/relationships/hyperlink" Target="https://m.place.naver.com/place/1832399826/home" TargetMode="External" Id="rId173" /><Relationship Type="http://schemas.openxmlformats.org/officeDocument/2006/relationships/hyperlink" Target="https://www.instagram.com/tcgfactory.mokpo/" TargetMode="External" Id="rId174" /><Relationship Type="http://schemas.openxmlformats.org/officeDocument/2006/relationships/hyperlink" Target="https://scontent-icn2-1.cdninstagram.com/v/t51.82787-19/610694292_17844270276668664_2486344436821599950_n.jpg?stp=dst-jpg_s150x150_tt6&amp;_nc_cat=103&amp;ccb=7-5&amp;_nc_sid=f7ccc5&amp;efg=eyJ2ZW5jb2RlX3RhZyI6InByb2ZpbGVfcGljLnd3dy41NTguQzMifQ%3D%3D&amp;_nc_ohc=nCqEZJQ5-PoQ7kNvwEbohgr&amp;_nc_oc=Adp0PYwc9b5wVH5SEZagtbs_EQXjbz8HZzMlJlQyqMGIMtpoLqpoOGfZ80QrWGBx-n4&amp;_nc_zt=24&amp;_nc_ht=scontent-icn2-1.cdninstagram.com&amp;_nc_gid=Em3s0KEkFdh-lUd1wOKxWA&amp;_nc_ss=7fa02&amp;oh=00_AQItvMc4nOeRa71ghJgrfEaIyqNKr0FvRbKah0EzlY0KCg&amp;oe=6AA9F5B3" TargetMode="External" Id="rId175" /><Relationship Type="http://schemas.openxmlformats.org/officeDocument/2006/relationships/hyperlink" Target="https://ldb-phinf.pstatic.net/20251112_3/1762925879919iNOGx_JPEG/WINHUNT-02.jpg" TargetMode="External" Id="rId176" /><Relationship Type="http://schemas.openxmlformats.org/officeDocument/2006/relationships/hyperlink" Target="https://m.place.naver.com/place/1034378936/home" TargetMode="External" Id="rId177" /><Relationship Type="http://schemas.openxmlformats.org/officeDocument/2006/relationships/hyperlink" Target="https://www.instagram.com/hs_storetcg/" TargetMode="External" Id="rId178" /><Relationship Type="http://schemas.openxmlformats.org/officeDocument/2006/relationships/hyperlink" Target="https://ldb-phinf.pstatic.net/20221014_174/1665734749588BB9W9_JPEG/KakaoTalk_20221013_225120315.jpg" TargetMode="External" Id="rId179" /><Relationship Type="http://schemas.openxmlformats.org/officeDocument/2006/relationships/hyperlink" Target="https://scontent-icn2-1.cdninstagram.com/v/t51.2885-19/311860276_149821504090996_5309512841959488101_n.jpg?stp=dst-jpg_s150x150_tt6&amp;_nc_cat=107&amp;ccb=7-5&amp;_nc_sid=f7ccc5&amp;efg=eyJ2ZW5jb2RlX3RhZyI6InByb2ZpbGVfcGljLnd3dy4xMDgwLkMzIn0%3D&amp;_nc_ohc=OfYWYlJB7uMQ7kNvwEmXTJR&amp;_nc_oc=AdpHpPUn2m1G9L8WWMOVrK4pxPpEoeIAUCOfiOOmNJRr3ZjW97rucknW5xJM_UP1zzM&amp;_nc_zt=24&amp;_nc_ht=scontent-icn2-1.cdninstagram.com&amp;_nc_ss=7fa02&amp;oh=00_AQJ1iMwDMsb5Gk8eZCCqUVHMXOx-1U6fzo5R_occbKFP8A&amp;oe=6AA9A208" TargetMode="External" Id="rId180" /><Relationship Type="http://schemas.openxmlformats.org/officeDocument/2006/relationships/hyperlink" Target="https://m.place.naver.com/place/1493090363/home" TargetMode="External" Id="rId181" /><Relationship Type="http://schemas.openxmlformats.org/officeDocument/2006/relationships/hyperlink" Target="https://ldb-phinf.pstatic.net/20240205_114/1707139573867ob0Jc_JPEG/%C1%A4%B9%AE.jpg" TargetMode="External" Id="rId182" /><Relationship Type="http://schemas.openxmlformats.org/officeDocument/2006/relationships/hyperlink" Target="https://m.place.naver.com/place/1991274895/home" TargetMode="External" Id="rId183" /><Relationship Type="http://schemas.openxmlformats.org/officeDocument/2006/relationships/hyperlink" Target="https://ldb-phinf.pstatic.net/20250521_161/1747811626985nOijD_JPEG/IMG_6281.jpg" TargetMode="External" Id="rId184" /><Relationship Type="http://schemas.openxmlformats.org/officeDocument/2006/relationships/hyperlink" Target="https://m.place.naver.com/place/2090874980/home" TargetMode="External" Id="rId185" /><Relationship Type="http://schemas.openxmlformats.org/officeDocument/2006/relationships/hyperlink" Target="https://www.instagram.com/trainerschool/" TargetMode="External" Id="rId186" /><Relationship Type="http://schemas.openxmlformats.org/officeDocument/2006/relationships/hyperlink" Target="https://ldb-phinf.pstatic.net/20230329_52/1680082929583k5VB0_JPEG/IMG_20230111_120640_120.jpg" TargetMode="External" Id="rId187" /><Relationship Type="http://schemas.openxmlformats.org/officeDocument/2006/relationships/hyperlink" Target="https://scontent-icn2-1.cdninstagram.com/v/t51.2885-19/325197695_1303313530248452_8871863789794651571_n.jpg?stp=dst-jpg_s150x150_tt6&amp;_nc_cat=110&amp;ccb=7-5&amp;_nc_sid=f7ccc5&amp;efg=eyJ2ZW5jb2RlX3RhZyI6InByb2ZpbGVfcGljLnd3dy4xMDgwLkMzIn0%3D&amp;_nc_ohc=WTDEI5euFIYQ7kNvwHxxjxy&amp;_nc_oc=Adq1NL7aPeFSpr-YERU2E8YnBUb4WhvyGNUwdrb_lssOK84UG2nrNljgR3npVkVPiqA&amp;_nc_zt=24&amp;_nc_ht=scontent-icn2-1.cdninstagram.com&amp;_nc_ss=7fa02&amp;oh=00_AQJdq2BVs6GLWeax97dvVw549qnvqu0HBiYJU2QwiX8L6A&amp;oe=6AA9F8C0" TargetMode="External" Id="rId188" /><Relationship Type="http://schemas.openxmlformats.org/officeDocument/2006/relationships/hyperlink" Target="https://m.place.naver.com/place/1995387969/home" TargetMode="External" Id="rId189" /><Relationship Type="http://schemas.openxmlformats.org/officeDocument/2006/relationships/hyperlink" Target="https://ldb-phinf.pstatic.net/20260207_17/1770452909427E0o5B_JPEG/%BF%DC%BA%CE%BB%E7%C1%F8.jpg" TargetMode="External" Id="rId190" /><Relationship Type="http://schemas.openxmlformats.org/officeDocument/2006/relationships/hyperlink" Target="https://m.place.naver.com/place/2000283363/home" TargetMode="External" Id="rId191" /><Relationship Type="http://schemas.openxmlformats.org/officeDocument/2006/relationships/hyperlink" Target="https://naverbooking-phinf.pstatic.net/20240418_201/1713434561463uiU2v_PNG/%B1%D7%B8%B21.png" TargetMode="External" Id="rId192" /><Relationship Type="http://schemas.openxmlformats.org/officeDocument/2006/relationships/hyperlink" Target="https://m.place.naver.com/place/1838802430/home" TargetMode="External" Id="rId193" /><Relationship Type="http://schemas.openxmlformats.org/officeDocument/2006/relationships/hyperlink" Target="https://www.instagram.com/ulsan_tcgfactory/" TargetMode="External" Id="rId194" /><Relationship Type="http://schemas.openxmlformats.org/officeDocument/2006/relationships/hyperlink" Target="https://ldb-phinf.pstatic.net/20240505_259/1714920367997Mfu5F_JPEG/23DE49A2-9E4B-4142-9CC4-0267B54AA673.jpeg" TargetMode="External" Id="rId195" /><Relationship Type="http://schemas.openxmlformats.org/officeDocument/2006/relationships/hyperlink" Target="https://scontent-icn2-1.cdninstagram.com/v/t51.2885-19/379327449_1374713926756093_1259750207633737077_n.jpg?stp=dst-jpg_s150x150_tt6&amp;_nc_cat=108&amp;ccb=7-5&amp;_nc_sid=f7ccc5&amp;efg=eyJ2ZW5jb2RlX3RhZyI6InByb2ZpbGVfcGljLnd3dy4xMDgwLkMzIn0%3D&amp;_nc_ohc=SmA3XqHC9NMQ7kNvwGfHDqw&amp;_nc_oc=Adr3Otg1Q51EL4C9GOH6EkpeF1AqxVf_GLSYpxnFRL4Qp8Zk802kfVgsrqZXOwE4EB8&amp;_nc_zt=24&amp;_nc_ht=scontent-icn2-1.cdninstagram.com&amp;_nc_ss=7fa02&amp;oh=00_AQJXaR9d2mdfmhW98wFZ4TqtTEzpQFHhGqeT25oZ06sy7A&amp;oe=6AA9F831" TargetMode="External" Id="rId196" /><Relationship Type="http://schemas.openxmlformats.org/officeDocument/2006/relationships/hyperlink" Target="https://m.place.naver.com/place/1139551108/home" TargetMode="External" Id="rId197" /><Relationship Type="http://schemas.openxmlformats.org/officeDocument/2006/relationships/hyperlink" Target="https://www.instagram.com/tcg_dual.factory/" TargetMode="External" Id="rId198" /><Relationship Type="http://schemas.openxmlformats.org/officeDocument/2006/relationships/hyperlink" Target="https://ldb-phinf.pstatic.net/20241217_65/1734426138021QCJ6j_JPEG/KakaoTalk_20241018_192853533_%BA%B9%BB%E7.jpg" TargetMode="External" Id="rId199" /><Relationship Type="http://schemas.openxmlformats.org/officeDocument/2006/relationships/hyperlink" Target="https://scontent-icn2-1.cdninstagram.com/v/t51.75761-19/491510825_17843044539473933_3379864865474468053_n.jpg?stp=dst-jpg_s150x150_tt6&amp;_nc_cat=109&amp;ccb=7-5&amp;_nc_sid=f7ccc5&amp;efg=eyJ2ZW5jb2RlX3RhZyI6InByb2ZpbGVfcGljLnd3dy4xMDgwLkMzIn0%3D&amp;_nc_ohc=hmkGm02dKBwQ7kNvwEn2UPw&amp;_nc_oc=AdoeE-UN8jIWv1hnSLMZwgHtiWxAT_BCfyqtRSZ7Jj5hzvHwuSFO7mouPayIEdhOJrg&amp;_nc_zt=24&amp;_nc_ht=scontent-icn2-1.cdninstagram.com&amp;_nc_gid=ECV2jwjDS9XweLjza7Muog&amp;_nc_ss=7fa02&amp;oh=00_AQIeyLNWPVaP8OpbZJQNSmpQaZuypT38RkWwztvh8X0MrA&amp;oe=6AAA16C7" TargetMode="External" Id="rId200" /><Relationship Type="http://schemas.openxmlformats.org/officeDocument/2006/relationships/hyperlink" Target="https://m.place.naver.com/place/37815670/home" TargetMode="External" Id="rId201" /><Relationship Type="http://schemas.openxmlformats.org/officeDocument/2006/relationships/hyperlink" Target="https://m.place.naver.com/place/1676236437/home" TargetMode="External" Id="rId202" /><Relationship Type="http://schemas.openxmlformats.org/officeDocument/2006/relationships/hyperlink" Target="https://www.instagram.com/boardgame_cafe_miniville/" TargetMode="External" Id="rId203" /><Relationship Type="http://schemas.openxmlformats.org/officeDocument/2006/relationships/hyperlink" Target="https://scontent-icn2-1.cdninstagram.com/v/t51.2885-19/60326143_2047940975501969_1143401241443827712_n.jpg?stp=dst-jpg_s150x150_tt6&amp;_nc_cat=106&amp;ccb=7-5&amp;_nc_sid=f7ccc5&amp;efg=eyJ2ZW5jb2RlX3RhZyI6InByb2ZpbGVfcGljLnd3dy4xMDgwLkMzIn0%3D&amp;_nc_ohc=DqfVktWhcYEQ7kNvwFjXYTg&amp;_nc_oc=AdotdecOIE7tS01P0OmK7MGHdofMQjKlbIzDZyhoX-1JjnKXsT4T6yMydIoZWwXbOWk&amp;_nc_zt=24&amp;_nc_ht=scontent-icn2-1.cdninstagram.com&amp;_nc_ss=7fa02&amp;oh=00_AQLOMhAA8cWdiahR3G-vqqbZspW08AA5h7lpt1n5NQOt2g&amp;oe=6AA9EA2B" TargetMode="External" Id="rId204" /><Relationship Type="http://schemas.openxmlformats.org/officeDocument/2006/relationships/hyperlink" Target="https://m.place.naver.com/place/1794954779/home" TargetMode="External" Id="rId205" /><Relationship Type="http://schemas.openxmlformats.org/officeDocument/2006/relationships/hyperlink" Target="https://www.instagram.com/pokemoncardshop_busan/" TargetMode="External" Id="rId206" /><Relationship Type="http://schemas.openxmlformats.org/officeDocument/2006/relationships/hyperlink" Target="https://ldb-phinf.pstatic.net/20250915_10/1757913435669Rig1z_JPEG/KakaoTalk_20250912_135144468.jpg" TargetMode="External" Id="rId207" /><Relationship Type="http://schemas.openxmlformats.org/officeDocument/2006/relationships/hyperlink" Target="https://scontent-icn2-1.cdninstagram.com/v/t51.82787-19/546585008_17845820577564513_5779149049442676972_n.jpg?stp=dst-jpg_s150x150_tt6&amp;_nc_cat=101&amp;ccb=7-5&amp;_nc_sid=f7ccc5&amp;efg=eyJ2ZW5jb2RlX3RhZyI6InByb2ZpbGVfcGljLnd3dy4xMDUwLkMzIn0%3D&amp;_nc_ohc=ANdAR2CstHMQ7kNvwEpIXLc&amp;_nc_oc=AdrNxsuXhxkPV4nWWtbAqH3Zlz1OHqqYhbhsHt-VOtq9x8v78tj6Dvx9t_jRFJLpabA&amp;_nc_zt=24&amp;_nc_ht=scontent-icn2-1.cdninstagram.com&amp;_nc_gid=3fCBuLrBuGZqtV_aqtB2Yw&amp;_nc_ss=7fa02&amp;oh=00_AQLFu4yHB7KBUITptgpDlso8jgI41-TSCgHpPVWdYzIuEA&amp;oe=6AA9A9BC" TargetMode="External" Id="rId208" /><Relationship Type="http://schemas.openxmlformats.org/officeDocument/2006/relationships/hyperlink" Target="https://m.place.naver.com/place/2038398302/home" TargetMode="External" Id="rId209" /><Relationship Type="http://schemas.openxmlformats.org/officeDocument/2006/relationships/hyperlink" Target="https://ldb-phinf.pstatic.net/20231212_185/1702391377203Qkf4e_JPEG/20231212_232333.jpg" TargetMode="External" Id="rId210" /><Relationship Type="http://schemas.openxmlformats.org/officeDocument/2006/relationships/hyperlink" Target="https://m.place.naver.com/place/1199611993/home" TargetMode="External" Id="rId211" /><Relationship Type="http://schemas.openxmlformats.org/officeDocument/2006/relationships/hyperlink" Target="https://ldb-phinf.pstatic.net/20260516_244/1778928782317ltOS6_JPEG/%C6%F7%C4%CF%B8%F3.jpg" TargetMode="External" Id="rId212" /><Relationship Type="http://schemas.openxmlformats.org/officeDocument/2006/relationships/hyperlink" Target="https://m.place.naver.com/place/1497083887/home" TargetMode="External" Id="rId213" /><Relationship Type="http://schemas.openxmlformats.org/officeDocument/2006/relationships/hyperlink" Target="https://www.instagram.com/fortunefactory/" TargetMode="External" Id="rId214" /><Relationship Type="http://schemas.openxmlformats.org/officeDocument/2006/relationships/hyperlink" Target="https://ldb-phinf.pstatic.net/20260909_179/1788950540543OTaWz_JPEG/%BB%F5%BD%CF%C0%FC_2%C8%B8-3.jpg" TargetMode="External" Id="rId215" /><Relationship Type="http://schemas.openxmlformats.org/officeDocument/2006/relationships/hyperlink" Target="https://scontent-icn2-1.cdninstagram.com/v/t51.2885-19/81429927_807639743013120_5803287981322141696_n.jpg?stp=dst-jpg_s150x150_tt6&amp;_nc_cat=103&amp;ccb=7-5&amp;_nc_sid=f7ccc5&amp;efg=eyJ2ZW5jb2RlX3RhZyI6InByb2ZpbGVfcGljLnd3dy45NjAuQzMifQ%3D%3D&amp;_nc_ohc=GToFwzayAJ0Q7kNvwHXGM1M&amp;_nc_oc=AdqScMdKVipdIsGLyRk3vSHIV6brhy_ckNLA6wpEXHRTopfyASDpdATmEi42bDefnPA&amp;_nc_zt=24&amp;_nc_ht=scontent-icn2-1.cdninstagram.com&amp;_nc_ss=7f60f&amp;oh=00_AQIt2RkE6oUZu8QqD4jIzi08yPn2AhOr_HkXeFHpQKX7Lw&amp;oe=6AA99242" TargetMode="External" Id="rId216" /><Relationship Type="http://schemas.openxmlformats.org/officeDocument/2006/relationships/hyperlink" Target="https://m.place.naver.com/place/37434450/home" TargetMode="External" Id="rId217" /><Relationship Type="http://schemas.openxmlformats.org/officeDocument/2006/relationships/hyperlink" Target="https://www.instagram.com/busantherak/" TargetMode="External" Id="rId218" /><Relationship Type="http://schemas.openxmlformats.org/officeDocument/2006/relationships/hyperlink" Target="https://scontent-icn2-1.cdninstagram.com/v/t51.82787-19/631002986_17843380524687041_3579115282959286250_n.jpg?stp=dst-jpg_s150x150_tt6&amp;_nc_cat=110&amp;ccb=7-5&amp;_nc_sid=f7ccc5&amp;efg=eyJ2ZW5jb2RlX3RhZyI6InByb2ZpbGVfcGljLnd3dy4xMDgwLkMzIn0%3D&amp;_nc_ohc=akbSTyYJKA4Q7kNvwHnlwAi&amp;_nc_oc=AdpjWU7htQ9k-n9f6vsfEZ5-w-IIDdjV-TajryYs1O3zzl3I-GYwDzTxlDprhJRjzk4&amp;_nc_zt=24&amp;_nc_ht=scontent-icn2-1.cdninstagram.com&amp;_nc_gid=J7RTVEfOuB7PGg7RQSTUVA&amp;_nc_ss=7fa02&amp;oh=00_AQJKGFz9j1PFhY61RUOE-Yy3fH7Jt8k0nLRUGJjL2UGfIg&amp;oe=6AAA0479" TargetMode="External" Id="rId219" /><Relationship Type="http://schemas.openxmlformats.org/officeDocument/2006/relationships/hyperlink" Target="https://m.place.naver.com/place/37408041/home" TargetMode="External" Id="rId220" /><Relationship Type="http://schemas.openxmlformats.org/officeDocument/2006/relationships/hyperlink" Target="https://www.instagram.com/korkr1/" TargetMode="External" Id="rId221" /><Relationship Type="http://schemas.openxmlformats.org/officeDocument/2006/relationships/hyperlink" Target="https://ldb-phinf.pstatic.net/20260131_103/1769863247972E3pi6_JPEG/1000023533.jpg" TargetMode="External" Id="rId222" /><Relationship Type="http://schemas.openxmlformats.org/officeDocument/2006/relationships/hyperlink" Target="https://scontent-icn2-1.cdninstagram.com/v/t51.2885-19/438454074_266863139849224_7190106814264244219_n.jpg?stp=dst-jpg_s150x150_tt6&amp;_nc_cat=109&amp;ccb=7-5&amp;_nc_sid=f7ccc5&amp;efg=eyJ2ZW5jb2RlX3RhZyI6InByb2ZpbGVfcGljLnd3dy4xMDgwLkMzIn0%3D&amp;_nc_ohc=upp2Tvg2l6wQ7kNvwFBrk2O&amp;_nc_oc=AdoPo8O3D_tQYG7uI37EP5t3DnKq54twLUeJADbYaG0HXu2qloEe16JIDhSFOkpF13Q&amp;_nc_zt=24&amp;_nc_ht=scontent-icn2-1.cdninstagram.com&amp;_nc_ss=7fa02&amp;oh=00_AQKto72lEmxNCVnvC7O0poZ-Kk7mXQV6ZUsIlD32Tfh4yQ&amp;oe=6AAA0816" TargetMode="External" Id="rId223" /><Relationship Type="http://schemas.openxmlformats.org/officeDocument/2006/relationships/hyperlink" Target="https://m.place.naver.com/place/1451790555/home" TargetMode="External" Id="rId224" /><Relationship Type="http://schemas.openxmlformats.org/officeDocument/2006/relationships/hyperlink" Target="https://ldb-phinf.pstatic.net/20190724_187/1563915872623YSzYI_JPEG/2ZcWPsaSeEpb-PYVC110WrGf.jpg" TargetMode="External" Id="rId225" /><Relationship Type="http://schemas.openxmlformats.org/officeDocument/2006/relationships/hyperlink" Target="https://m.place.naver.com/place/1628471418/home" TargetMode="External" Id="rId226" /><Relationship Type="http://schemas.openxmlformats.org/officeDocument/2006/relationships/hyperlink" Target="https://m.place.naver.com/place/1204627405/home" TargetMode="External" Id="rId227" /><Relationship Type="http://schemas.openxmlformats.org/officeDocument/2006/relationships/hyperlink" Target="https://www.instagram.com/cardelixir_01/" TargetMode="External" Id="rId228" /><Relationship Type="http://schemas.openxmlformats.org/officeDocument/2006/relationships/hyperlink" Target="https://scontent-icn2-1.cdninstagram.com/v/t51.82787-19/760192577_18057644129566231_4204041799292419440_n.jpg?stp=dst-jpg_s150x150_tt6&amp;_nc_cat=103&amp;ccb=7-5&amp;_nc_sid=f7ccc5&amp;efg=eyJ2ZW5jb2RlX3RhZyI6InByb2ZpbGVfcGljLnd3dy45MjIuQzMifQ%3D%3D&amp;_nc_ohc=I-mwv22ZoPIQ7kNvwFHW89r&amp;_nc_oc=AdpUQRpfj3QidyRrOLLc41500bWmBiPPJT4HdTFtRw1nHWb8PIV0B5nDXKo7xw07anU&amp;_nc_zt=24&amp;_nc_ht=scontent-icn2-1.cdninstagram.com&amp;_nc_gid=QH5bqr_iNdgLnPNEEJNXvg&amp;_nc_ss=7fa02&amp;oh=00_AQJ7FhNHzcm1ah0OctfKySfassLhLJSBqfRJ6HwxjOg7fw&amp;oe=6AAA0691" TargetMode="External" Id="rId229" /><Relationship Type="http://schemas.openxmlformats.org/officeDocument/2006/relationships/hyperlink" Target="https://m.place.naver.com/place/2097527194/home" TargetMode="External" Id="rId230" /><Relationship Type="http://schemas.openxmlformats.org/officeDocument/2006/relationships/hyperlink" Target="https://ldb-phinf.pstatic.net/20250427_72/1745726155001Yyq2m_JPEG/KakaoTalk_20250427_125256522.jpg" TargetMode="External" Id="rId231" /><Relationship Type="http://schemas.openxmlformats.org/officeDocument/2006/relationships/hyperlink" Target="https://m.place.naver.com/place/1814818132/home" TargetMode="External" Id="rId232" /><Relationship Type="http://schemas.openxmlformats.org/officeDocument/2006/relationships/hyperlink" Target="https://ldb-phinf.pstatic.net/20241024_127/1729772377942uTSXG_JPEG/KakaoTalk_20241024_210918773.jpg" TargetMode="External" Id="rId233" /><Relationship Type="http://schemas.openxmlformats.org/officeDocument/2006/relationships/hyperlink" Target="https://m.place.naver.com/place/1524861210/home" TargetMode="External" Id="rId234" /><Relationship Type="http://schemas.openxmlformats.org/officeDocument/2006/relationships/hyperlink" Target="https://ldb-phinf.pstatic.net/20260620_288/1781890788375NpWtj_JPEG/IMG_0468.jpg" TargetMode="External" Id="rId235" /><Relationship Type="http://schemas.openxmlformats.org/officeDocument/2006/relationships/hyperlink" Target="https://m.place.naver.com/place/1238558414/home" TargetMode="External" Id="rId236" /><Relationship Type="http://schemas.openxmlformats.org/officeDocument/2006/relationships/hyperlink" Target="https://www.instagram.com/iboxjeju/" TargetMode="External" Id="rId237" /><Relationship Type="http://schemas.openxmlformats.org/officeDocument/2006/relationships/hyperlink" Target="https://ldb-phinf.pstatic.net/20240503_45/1714719207866Ym0xI_JPEG/1704318930104-1.jpg" TargetMode="External" Id="rId238" /><Relationship Type="http://schemas.openxmlformats.org/officeDocument/2006/relationships/hyperlink" Target="https://m.place.naver.com/place/33077968/home" TargetMode="External" Id="rId239" /><Relationship Type="http://schemas.openxmlformats.org/officeDocument/2006/relationships/table" Target="/xl/tables/table1.xml" Id="rId24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beems.cardshop/" TargetMode="External" Id="rId1" /><Relationship Type="http://schemas.openxmlformats.org/officeDocument/2006/relationships/hyperlink" Target="https://scontent-icn2-1.cdninstagram.com/v/t51.2885-19/187567881_183020520254090_1916987080649099423_n.jpg?stp=dst-jpg_s150x150_tt6&amp;_nc_cat=111&amp;ccb=7-5&amp;_nc_sid=f7ccc5&amp;efg=eyJ2ZW5jb2RlX3RhZyI6InByb2ZpbGVfcGljLnd3dy43NTAuQzMifQ%3D%3D&amp;_nc_ohc=wzZnLPtiIrEQ7kNvwEDCZrp&amp;_nc_oc=Adqn6WhrjC2f2AjaE1o-I3x0aiWxGULVMu1VwVFPPKz-qMGNF4vMOfCbk73OSwidOFg&amp;_nc_zt=24&amp;_nc_ht=scontent-icn2-1.cdninstagram.com&amp;_nc_ss=7fa02&amp;oh=00_AQJLkbraABgW8akEdoIcZ_zm81gfs9DITzvZE07jm_0zSw&amp;oe=6AA9F922" TargetMode="External" Id="rId2" /><Relationship Type="http://schemas.openxmlformats.org/officeDocument/2006/relationships/hyperlink" Target="https://www.instagram.com/hobby_anko_akihabara/" TargetMode="External" Id="rId3" /><Relationship Type="http://schemas.openxmlformats.org/officeDocument/2006/relationships/hyperlink" Target="https://scontent-icn2-1.cdninstagram.com/v/t51.82787-19/590410865_17845789029611863_2157111525072617029_n.jpg?stp=dst-jpg_s150x150_tt6&amp;_nc_cat=108&amp;ccb=7-5&amp;_nc_sid=f7ccc5&amp;efg=eyJ2ZW5jb2RlX3RhZyI6InByb2ZpbGVfcGljLnd3dy4zMjAuQzMifQ%3D%3D&amp;_nc_ohc=hL7gppmOGDQQ7kNvwHeqczq&amp;_nc_oc=AdrA-lsiFNYN8iSONsuZ-LbydS4MfXWt6P-9ti49aFLlV8q6FyBTXBWR2KmBq7pO9rw&amp;_nc_zt=24&amp;_nc_ht=scontent-icn2-1.cdninstagram.com&amp;_nc_gid=D53k9uzLh1PkS5sRau4QQw&amp;_nc_ss=7fa02&amp;oh=00_AQLd137CFI0LLVLi24CViXQfVKEtfT2BM81F3YRt-FA9rg&amp;oe=6AA9E4F7" TargetMode="External" Id="rId4" /><Relationship Type="http://schemas.openxmlformats.org/officeDocument/2006/relationships/hyperlink" Target="https://www.instagram.com/toreca_pocketcenter_akihabara/" TargetMode="External" Id="rId5" /><Relationship Type="http://schemas.openxmlformats.org/officeDocument/2006/relationships/hyperlink" Target="https://scontent-icn2-1.cdninstagram.com/v/t51.75761-19/497982445_17945533796991260_4372598551508402763_n.jpg?stp=dst-jpg_s150x150_tt6&amp;_nc_cat=109&amp;ccb=7-5&amp;_nc_sid=f7ccc5&amp;efg=eyJ2ZW5jb2RlX3RhZyI6InByb2ZpbGVfcGljLnd3dy4xMDgwLkMzIn0%3D&amp;_nc_ohc=A3cAmIuGgCUQ7kNvwFfwyKP&amp;_nc_oc=AdokM3BjFrU_InpthjZ4dW-DVny-3oVSwDy4H3tP6cRrf0OyNXmHxrKbv6ReodSz0N0&amp;_nc_zt=24&amp;_nc_ht=scontent-icn2-1.cdninstagram.com&amp;_nc_gid=d0hwjqgLojnN690m2nc1LQ&amp;_nc_ss=7fa02&amp;oh=00_AQKAOY_UA6BNnO_TZ-mrpTZaQ1WZSqiBWKOgQ_BUTrtlOg&amp;oe=6AA9F56B" TargetMode="External" Id="rId6" /><Relationship Type="http://schemas.openxmlformats.org/officeDocument/2006/relationships/hyperlink" Target="https://www.instagram.com/tradingcardshop_yk/" TargetMode="External" Id="rId7" /><Relationship Type="http://schemas.openxmlformats.org/officeDocument/2006/relationships/hyperlink" Target="https://scontent-icn2-1.cdninstagram.com/v/t51.2885-19/486021112_1237214744569648_3337745128284898241_n.jpg?stp=dst-jpg_s150x150_tt6&amp;_nc_cat=100&amp;ccb=7-5&amp;_nc_sid=f7ccc5&amp;efg=eyJ2ZW5jb2RlX3RhZyI6InByb2ZpbGVfcGljLnd3dy4xMDgwLkMzIn0%3D&amp;_nc_ohc=m5wwTE-6fgEQ7kNvwFQS6Q2&amp;_nc_oc=AdqY-gXEAc3M4gatNEHm-8HdhiGOD5wiAaFl_TWhM8qAz-AtC5cHiVmRdqiuWLHPo7Q&amp;_nc_zt=24&amp;_nc_ht=scontent-icn2-1.cdninstagram.com&amp;_nc_ss=7fa02&amp;oh=00_AQLJmjpJYdZPjpp2_UBlt7M1it6xc1SRpM8bLtP5U8ib1w&amp;oe=6AAA0BAF" TargetMode="External" Id="rId8" /><Relationship Type="http://schemas.openxmlformats.org/officeDocument/2006/relationships/hyperlink" Target="https://www.instagram.com/dorasutagram/" TargetMode="External" Id="rId9" /><Relationship Type="http://schemas.openxmlformats.org/officeDocument/2006/relationships/hyperlink" Target="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" TargetMode="External" Id="rId10" /><Relationship Type="http://schemas.openxmlformats.org/officeDocument/2006/relationships/hyperlink" Target="https://www.instagram.com/dorasutagram/" TargetMode="External" Id="rId11" /><Relationship Type="http://schemas.openxmlformats.org/officeDocument/2006/relationships/hyperlink" Target="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" TargetMode="External" Id="rId12" /><Relationship Type="http://schemas.openxmlformats.org/officeDocument/2006/relationships/hyperlink" Target="https://www.instagram.com/hareruya2_pokeca/" TargetMode="External" Id="rId13" /><Relationship Type="http://schemas.openxmlformats.org/officeDocument/2006/relationships/hyperlink" Target="https://hareruya2-filepool.s3.us-east-1.amazonaws.com/page/store_menu/img_2604_hare2anex.webp" TargetMode="External" Id="rId14" /><Relationship Type="http://schemas.openxmlformats.org/officeDocument/2006/relationships/hyperlink" Target="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" TargetMode="External" Id="rId15" /><Relationship Type="http://schemas.openxmlformats.org/officeDocument/2006/relationships/hyperlink" Target="https://www.instagram.com/hareruya2_pokeca/" TargetMode="External" Id="rId16" /><Relationship Type="http://schemas.openxmlformats.org/officeDocument/2006/relationships/hyperlink" Target="https://hareruya2-filepool.s3.us-east-1.amazonaws.com/page/store_tower/img_2601_towerA.webp" TargetMode="External" Id="rId17" /><Relationship Type="http://schemas.openxmlformats.org/officeDocument/2006/relationships/hyperlink" Target="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" TargetMode="External" Id="rId18" /><Relationship Type="http://schemas.openxmlformats.org/officeDocument/2006/relationships/hyperlink" Target="https://www.instagram.com/ninnin_ikebukuro/" TargetMode="External" Id="rId19" /><Relationship Type="http://schemas.openxmlformats.org/officeDocument/2006/relationships/hyperlink" Target="https://scontent-icn2-1.cdninstagram.com/v/t51.2885-19/474641042_1860580054770138_624441163166973666_n.jpg?stp=dst-jpg_s150x150_tt6&amp;_nc_cat=111&amp;ccb=7-5&amp;_nc_sid=f7ccc5&amp;efg=eyJ2ZW5jb2RlX3RhZyI6InByb2ZpbGVfcGljLnd3dy4zOTguQzMifQ%3D%3D&amp;_nc_ohc=POvE1aTUJiUQ7kNvwGbWM70&amp;_nc_oc=Ado13JfSzxGRuyppOFXt69Ecd5Cg5OyCDyil8SyN5B8uMYjhOzNfxqtrugcXPtwRWgY&amp;_nc_zt=24&amp;_nc_ht=scontent-icn2-1.cdninstagram.com&amp;_nc_ss=7fa02&amp;oh=00_AQLZbvE_UD-XtvPeKILos6MMjz4et0Q89-_TZVpRlChIwg&amp;oe=6AA9F713" TargetMode="External" Id="rId20" /><Relationship Type="http://schemas.openxmlformats.org/officeDocument/2006/relationships/hyperlink" Target="https://www.instagram.com/dorasutagram/" TargetMode="External" Id="rId21" /><Relationship Type="http://schemas.openxmlformats.org/officeDocument/2006/relationships/hyperlink" Target="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" TargetMode="External" Id="rId22" /><Relationship Type="http://schemas.openxmlformats.org/officeDocument/2006/relationships/hyperlink" Target="https://www.instagram.com/hareruya2_pokeca/" TargetMode="External" Id="rId23" /><Relationship Type="http://schemas.openxmlformats.org/officeDocument/2006/relationships/hyperlink" Target="https://hareruya2-filepool.s3.us-east-1.amazonaws.com/page/store_ikebukuro/ikebukuro.webp" TargetMode="External" Id="rId24" /><Relationship Type="http://schemas.openxmlformats.org/officeDocument/2006/relationships/hyperlink" Target="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" TargetMode="External" Id="rId25" /><Relationship Type="http://schemas.openxmlformats.org/officeDocument/2006/relationships/hyperlink" Target="https://www.instagram.com/mintcardshibuya/" TargetMode="External" Id="rId26" /><Relationship Type="http://schemas.openxmlformats.org/officeDocument/2006/relationships/hyperlink" Target="https://scontent-icn2-1.cdninstagram.com/v/t51.82787-19/538999769_17921322579131792_5156151328474301223_n.jpg?stp=dst-jpg_s150x150_tt6&amp;_nc_cat=105&amp;ccb=7-5&amp;_nc_sid=f7ccc5&amp;efg=eyJ2ZW5jb2RlX3RhZyI6InByb2ZpbGVfcGljLnd3dy40MDAuQzMifQ%3D%3D&amp;_nc_ohc=4S2xDip1W7cQ7kNvwGMDrIN&amp;_nc_oc=AdqDGDPeLqVhJB-U-bOr2BrrVFkN1ms1OaTfXJsFFoVK3km1Ji2RLYw8xcY17Myg0HQ&amp;_nc_zt=24&amp;_nc_ht=scontent-icn2-1.cdninstagram.com&amp;_nc_gid=zs6ZsnN7lgaN69xGRivfIA&amp;_nc_ss=7fa02&amp;oh=00_AQL8lzF3XEYYXFk8XgBF_DSXjgMdAEgs9gtCC2mD2wONyw&amp;oe=6AA98051" TargetMode="External" Id="rId27" /><Relationship Type="http://schemas.openxmlformats.org/officeDocument/2006/relationships/hyperlink" Target="https://www.instagram.com/onepiece_base_shop/" TargetMode="External" Id="rId28" /><Relationship Type="http://schemas.openxmlformats.org/officeDocument/2006/relationships/hyperlink" Target="https://scontent-icn2-1.cdninstagram.com/v/t51.82787-19/541677351_17846369196559241_2506064694596702095_n.jpg?stp=dst-jpg_s150x150_tt6&amp;_nc_cat=109&amp;ccb=7-5&amp;_nc_sid=f7ccc5&amp;efg=eyJ2ZW5jb2RlX3RhZyI6InByb2ZpbGVfcGljLnd3dy40MDAuQzMifQ%3D%3D&amp;_nc_ohc=jBLhL6dyVAEQ7kNvwEmGYMX&amp;_nc_oc=AdqsYSs6X4jNaNDy76TN5g9I_L_3lsIZwXQKyKdaFkgMLCwDqlVeHyB6RLNlJITkRHY&amp;_nc_zt=24&amp;_nc_ht=scontent-icn2-1.cdninstagram.com&amp;_nc_gid=khcbTIRWzv_RqZYAsl2eIQ&amp;_nc_ss=7fa02&amp;oh=00_AQJjr8fI8XcZ9owjL7Os2uuCbYrNBcCeI4rpdRyagqKMgg&amp;oe=6AA9EDFD" TargetMode="External" Id="rId29" /><Relationship Type="http://schemas.openxmlformats.org/officeDocument/2006/relationships/hyperlink" Target="https://www.instagram.com/hareruya2_pokeca/" TargetMode="External" Id="rId30" /><Relationship Type="http://schemas.openxmlformats.org/officeDocument/2006/relationships/hyperlink" Target="https://hareruya2-filepool.s3.us-east-1.amazonaws.com/page/store_menu/img_2606_babaTOP.webp" TargetMode="External" Id="rId31" /><Relationship Type="http://schemas.openxmlformats.org/officeDocument/2006/relationships/hyperlink" Target="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" TargetMode="External" Id="rId32" /><Relationship Type="http://schemas.openxmlformats.org/officeDocument/2006/relationships/hyperlink" Target="https://www.instagram.com/batonstorenakanobw/" TargetMode="External" Id="rId33" /><Relationship Type="http://schemas.openxmlformats.org/officeDocument/2006/relationships/hyperlink" Target="https://scontent-icn2-1.cdninstagram.com/v/t51.2885-19/365457357_3454375531452775_4647388297390732732_n.jpg?stp=dst-jpg_s150x150_tt6&amp;_nc_cat=102&amp;ccb=7-5&amp;_nc_sid=f7ccc5&amp;efg=eyJ2ZW5jb2RlX3RhZyI6InByb2ZpbGVfcGljLnd3dy4zMjAuQzMifQ%3D%3D&amp;_nc_ohc=6be2W7EYbkYQ7kNvwG45uiS&amp;_nc_oc=AdqKYx8tBDoAAk1yg8x_4aY6WagSLRjtb_GIQyQ0uPKQhwjmsKwca5uql-HzfA_r6Bw&amp;_nc_zt=24&amp;_nc_ht=scontent-icn2-1.cdninstagram.com&amp;_nc_ss=7fa02&amp;oh=00_AQJNUxaY0q7SvAA-h_ORdUbLQRUy9u28WD9EtdYcyQ6pvA&amp;oe=6AAA1B59" TargetMode="External" Id="rId34" /><Relationship Type="http://schemas.openxmlformats.org/officeDocument/2006/relationships/hyperlink" Target="https://www.instagram.com/amtaf0306/" TargetMode="External" Id="rId35" /><Relationship Type="http://schemas.openxmlformats.org/officeDocument/2006/relationships/hyperlink" Target="https://scontent-icn2-1.cdninstagram.com/v/t51.2885-19/460926357_887618919945947_9062114617442013563_n.jpg?stp=dst-jpg_s150x150_tt6&amp;_nc_cat=101&amp;ccb=7-5&amp;_nc_sid=f7ccc5&amp;efg=eyJ2ZW5jb2RlX3RhZyI6InByb2ZpbGVfcGljLnd3dy40MDAuQzMifQ%3D%3D&amp;_nc_ohc=3pNWGwGGLMIQ7kNvwFRd3fM&amp;_nc_oc=Ado5zfFbYU0ms4azDJ2EDmRHvMLPuoT3epvPv0qmbkXeZw4xO9I54EHzLEG9RwXIRv4&amp;_nc_zt=24&amp;_nc_ht=scontent-icn2-1.cdninstagram.com&amp;_nc_ss=7fa02&amp;oh=00_AQJNSbPA5JMwDcRS9VpEGzeM7duO68yx1fT5S6BV6xYhSg&amp;oe=6AA9EF06" TargetMode="External" Id="rId36" /><Relationship Type="http://schemas.openxmlformats.org/officeDocument/2006/relationships/hyperlink" Target="https://www.c-labo.jp/wordpress/wp-content/uploads/2017/02/49208f92b5fd13a14b32f0369e0210fc.jpg" TargetMode="External" Id="rId37" /><Relationship Type="http://schemas.openxmlformats.org/officeDocument/2006/relationships/hyperlink" Target="https://www.instagram.com/dorasutagram/" TargetMode="External" Id="rId38" /><Relationship Type="http://schemas.openxmlformats.org/officeDocument/2006/relationships/hyperlink" Target="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" TargetMode="External" Id="rId39" /><Relationship Type="http://schemas.openxmlformats.org/officeDocument/2006/relationships/hyperlink" Target="https://www.instagram.com/dorasutagram/" TargetMode="External" Id="rId40" /><Relationship Type="http://schemas.openxmlformats.org/officeDocument/2006/relationships/hyperlink" Target="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" TargetMode="External" Id="rId41" /><Relationship Type="http://schemas.openxmlformats.org/officeDocument/2006/relationships/hyperlink" Target="https://www.instagram.com/dorasutagram/" TargetMode="External" Id="rId42" /><Relationship Type="http://schemas.openxmlformats.org/officeDocument/2006/relationships/hyperlink" Target="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" TargetMode="External" Id="rId43" /><Relationship Type="http://schemas.openxmlformats.org/officeDocument/2006/relationships/hyperlink" Target="https://www.instagram.com/dorasutagram/" TargetMode="External" Id="rId44" /><Relationship Type="http://schemas.openxmlformats.org/officeDocument/2006/relationships/hyperlink" Target="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" TargetMode="External" Id="rId45" /><Relationship Type="http://schemas.openxmlformats.org/officeDocument/2006/relationships/hyperlink" Target="https://www.instagram.com/hareruya2_pokeca/" TargetMode="External" Id="rId46" /><Relationship Type="http://schemas.openxmlformats.org/officeDocument/2006/relationships/hyperlink" Target="https://hareruya2-filepool.s3.amazonaws.com/page/store_namba/img_2408_Hare2Nanba.webp" TargetMode="External" Id="rId47" /><Relationship Type="http://schemas.openxmlformats.org/officeDocument/2006/relationships/hyperlink" Target="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" TargetMode="External" Id="rId48" /><Relationship Type="http://schemas.openxmlformats.org/officeDocument/2006/relationships/hyperlink" Target="https://www.instagram.com/surugaya_jp/" TargetMode="External" Id="rId49" /><Relationship Type="http://schemas.openxmlformats.org/officeDocument/2006/relationships/hyperlink" Target="https://scontent-icn2-1.cdninstagram.com/v/t51.2885-19/448634205_3866890380206326_5057204226306541723_n.jpg?stp=dst-jpg_s150x150_tt6&amp;_nc_cat=107&amp;ccb=7-5&amp;_nc_sid=f7ccc5&amp;efg=eyJ2ZW5jb2RlX3RhZyI6InByb2ZpbGVfcGljLnd3dy40MDAuQzMifQ%3D%3D&amp;_nc_ohc=LPxZKrw5h9gQ7kNvwGqlCQ_&amp;_nc_oc=AdpyS24ALhY4A15EE1GoS8FpmNf8_AoYzyXqHM39jMUiS-qOJfbRrgEfmQJfVRocdUg&amp;_nc_zt=24&amp;_nc_ht=scontent-icn2-1.cdninstagram.com&amp;_nc_ss=7fa02&amp;oh=00_AQKyBYI9OIs77hK1GJSmUCd1XtDKL3a69uqCb94PuYt-zA&amp;oe=6AA9E629" TargetMode="External" Id="rId50" /><Relationship Type="http://schemas.openxmlformats.org/officeDocument/2006/relationships/hyperlink" Target="https://www.instagram.com/mintcardjapan/" TargetMode="External" Id="rId51" /><Relationship Type="http://schemas.openxmlformats.org/officeDocument/2006/relationships/hyperlink" Target="https://img07.shop-pro.jp/PA01031/426/product/4246343.jpg?cmsp_timestamp=20220712151235" TargetMode="External" Id="rId52" /><Relationship Type="http://schemas.openxmlformats.org/officeDocument/2006/relationships/hyperlink" Target="https://scontent-icn2-1.cdninstagram.com/v/t51.82787-19/604740660_18059372816642657_3350166706630106538_n.jpg?stp=dst-jpg_s150x150_tt6&amp;_nc_cat=106&amp;ccb=7-5&amp;_nc_sid=f7ccc5&amp;efg=eyJ2ZW5jb2RlX3RhZyI6InByb2ZpbGVfcGljLnd3dy40MDAuQzMifQ%3D%3D&amp;_nc_ohc=7kNCEvzHHZ0Q7kNvwH0X5jm&amp;_nc_oc=AdqnWFt3A1Czngb6c4p3Ci0hbtbJ2W7qHvoJs52tn-b3OjjDI8m7yEK4RaQbJM0NU-E&amp;_nc_zt=24&amp;_nc_ht=scontent-icn2-1.cdninstagram.com&amp;_nc_gid=gARWiqER6H87eYbxdJW3WQ&amp;_nc_ss=7fa02&amp;oh=00_AQK7roYcWw-fa3sBdcNy6lUAX9OTzU6PXvQONlnqAB6KwQ&amp;oe=6AAA0A2B" TargetMode="External" Id="rId53" /><Relationship Type="http://schemas.openxmlformats.org/officeDocument/2006/relationships/hyperlink" Target="https://www.instagram.com/mintcardjapan/" TargetMode="External" Id="rId54" /><Relationship Type="http://schemas.openxmlformats.org/officeDocument/2006/relationships/hyperlink" Target="https://image.parco.jp/SCCWEB/image/fukuoka/store/storage/w750/shop_cname_20211110115156.jpg" TargetMode="External" Id="rId55" /><Relationship Type="http://schemas.openxmlformats.org/officeDocument/2006/relationships/hyperlink" Target="https://scontent-icn2-1.cdninstagram.com/v/t51.82787-19/604740660_18059372816642657_3350166706630106538_n.jpg?stp=dst-jpg_s150x150_tt6&amp;_nc_cat=106&amp;ccb=7-5&amp;_nc_sid=f7ccc5&amp;efg=eyJ2ZW5jb2RlX3RhZyI6InByb2ZpbGVfcGljLnd3dy40MDAuQzMifQ%3D%3D&amp;_nc_ohc=7kNCEvzHHZ0Q7kNvwH0X5jm&amp;_nc_oc=AdqnWFt3A1Czngb6c4p3Ci0hbtbJ2W7qHvoJs52tn-b3OjjDI8m7yEK4RaQbJM0NU-E&amp;_nc_zt=24&amp;_nc_ht=scontent-icn2-1.cdninstagram.com&amp;_nc_gid=gARWiqER6H87eYbxdJW3WQ&amp;_nc_ss=7fa02&amp;oh=00_AQK7roYcWw-fa3sBdcNy6lUAX9OTzU6PXvQONlnqAB6KwQ&amp;oe=6AAA0A2B" TargetMode="External" Id="rId56" /><Relationship Type="http://schemas.openxmlformats.org/officeDocument/2006/relationships/hyperlink" Target="https://www.c-labo.jp/wordpress/wp-content/uploads/2017/02/54f4e14288188615aa4eb9d70d677e2b.jpg" TargetMode="External" Id="rId57" /><Relationship Type="http://schemas.openxmlformats.org/officeDocument/2006/relationships/hyperlink" Target="https://www.instagram.com/hareruya2_pokeca/" TargetMode="External" Id="rId58" /><Relationship Type="http://schemas.openxmlformats.org/officeDocument/2006/relationships/hyperlink" Target="https://hareruya2-filepool.s3.us-east-1.amazonaws.com/page/store_fukuoka/250904_hare2fukuoka_toplogo.webp" TargetMode="External" Id="rId59" /><Relationship Type="http://schemas.openxmlformats.org/officeDocument/2006/relationships/hyperlink" Target="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" TargetMode="External" Id="rId60" /><Relationship Type="http://schemas.openxmlformats.org/officeDocument/2006/relationships/hyperlink" Target="https://www.instagram.com/surugaya_jp/" TargetMode="External" Id="rId61" /><Relationship Type="http://schemas.openxmlformats.org/officeDocument/2006/relationships/hyperlink" Target="https://scontent-icn2-1.cdninstagram.com/v/t51.2885-19/448634205_3866890380206326_5057204226306541723_n.jpg?stp=dst-jpg_s150x150_tt6&amp;_nc_cat=107&amp;ccb=7-5&amp;_nc_sid=f7ccc5&amp;efg=eyJ2ZW5jb2RlX3RhZyI6InByb2ZpbGVfcGljLnd3dy40MDAuQzMifQ%3D%3D&amp;_nc_ohc=LPxZKrw5h9gQ7kNvwGqlCQ_&amp;_nc_oc=AdpyS24ALhY4A15EE1GoS8FpmNf8_AoYzyXqHM39jMUiS-qOJfbRrgEfmQJfVRocdUg&amp;_nc_zt=24&amp;_nc_ht=scontent-icn2-1.cdninstagram.com&amp;_nc_ss=7fa02&amp;oh=00_AQKyBYI9OIs77hK1GJSmUCd1XtDKL3a69uqCb94PuYt-zA&amp;oe=6AA9E629" TargetMode="External" Id="rId62" /><Relationship Type="http://schemas.openxmlformats.org/officeDocument/2006/relationships/hyperlink" Target="https://www.instagram.com/pokemon_jpn/" TargetMode="External" Id="rId63" /><Relationship Type="http://schemas.openxmlformats.org/officeDocument/2006/relationships/hyperlink" Target="https://scontent-icn2-1.cdninstagram.com/v/t51.2885-19/23733811_906931792843258_6402748017207672832_n.jpg?stp=dst-jpg_s150x150_tt6&amp;_nc_cat=1&amp;ccb=7-5&amp;_nc_sid=f7ccc5&amp;efg=eyJ2ZW5jb2RlX3RhZyI6InByb2ZpbGVfcGljLnd3dy4zMjAuQzMifQ%3D%3D&amp;_nc_ohc=zO-v04a3G6cQ7kNvwHuLAxB&amp;_nc_oc=AdpcU-tFhCM10WJ8WwTkFW4Uol30jgCCncDsPDTa7H_vsdZT3HEnokQyfXgyGUHqT0g&amp;_nc_zt=24&amp;_nc_ht=scontent-icn2-1.cdninstagram.com&amp;_nc_ss=7fa02&amp;oh=00_AQIkWLSbwxlZBtgvWDBRu91eEOfzoB5C-myKBzG1Hpenwg&amp;oe=6AA9A978" TargetMode="External" Id="rId64" /><Relationship Type="http://schemas.openxmlformats.org/officeDocument/2006/relationships/hyperlink" Target="https://www.c-labo.jp/wordpress/wp-content/uploads/2023/04/DSC_0894-1.jpg" TargetMode="External" Id="rId65" /><Relationship Type="http://schemas.openxmlformats.org/officeDocument/2006/relationships/hyperlink" Target="https://www.c-labo.jp/wordpress/wp-content/uploads/2017/02/67a13adbe749257d95c16f00b292c223.jpg" TargetMode="External" Id="rId66" /><Relationship Type="http://schemas.openxmlformats.org/officeDocument/2006/relationships/hyperlink" Target="https://www.instagram.com/hareruya2_pokeca/" TargetMode="External" Id="rId67" /><Relationship Type="http://schemas.openxmlformats.org/officeDocument/2006/relationships/hyperlink" Target="https://hareruya2-filepool.s3.us-east-1.amazonaws.com/page/store_osu/store_2604_hare2osu.webp" TargetMode="External" Id="rId68" /><Relationship Type="http://schemas.openxmlformats.org/officeDocument/2006/relationships/hyperlink" Target="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" TargetMode="External" Id="rId69" /><Relationship Type="http://schemas.openxmlformats.org/officeDocument/2006/relationships/hyperlink" Target="https://www.c-labo.jp/wordpress/wp-content/uploads/2017/02/95f19c808c36659e457883bd264b8a9e.jpg" TargetMode="External" Id="rId70" /><Relationship Type="http://schemas.openxmlformats.org/officeDocument/2006/relationships/hyperlink" Target="https://www.instagram.com/pokemon_jpn/" TargetMode="External" Id="rId71" /><Relationship Type="http://schemas.openxmlformats.org/officeDocument/2006/relationships/hyperlink" Target="https://scontent-icn2-1.cdninstagram.com/v/t51.2885-19/23733811_906931792843258_6402748017207672832_n.jpg?stp=dst-jpg_s150x150_tt6&amp;_nc_cat=1&amp;ccb=7-5&amp;_nc_sid=f7ccc5&amp;efg=eyJ2ZW5jb2RlX3RhZyI6InByb2ZpbGVfcGljLnd3dy4zMjAuQzMifQ%3D%3D&amp;_nc_ohc=zO-v04a3G6cQ7kNvwHuLAxB&amp;_nc_oc=AdpcU-tFhCM10WJ8WwTkFW4Uol30jgCCncDsPDTa7H_vsdZT3HEnokQyfXgyGUHqT0g&amp;_nc_zt=24&amp;_nc_ht=scontent-icn2-1.cdninstagram.com&amp;_nc_ss=7fa02&amp;oh=00_AQIkWLSbwxlZBtgvWDBRu91eEOfzoB5C-myKBzG1Hpenwg&amp;oe=6AA9A978" TargetMode="External" Id="rId72" /><Relationship Type="http://schemas.openxmlformats.org/officeDocument/2006/relationships/hyperlink" Target="https://www.instagram.com/mint_yokohama_vivre/" TargetMode="External" Id="rId73" /><Relationship Type="http://schemas.openxmlformats.org/officeDocument/2006/relationships/hyperlink" Target="https://scontent-icn2-1.cdninstagram.com/v/t51.82787-19/716570811_18093598739017283_5447743136686436522_n.jpg?stp=dst-jpg_s150x150_tt6&amp;_nc_cat=105&amp;ccb=7-5&amp;_nc_sid=f7ccc5&amp;efg=eyJ2ZW5jb2RlX3RhZyI6InByb2ZpbGVfcGljLnd3dy4zMjAuQzMifQ%3D%3D&amp;_nc_ohc=8jhXzbkamdEQ7kNvwHIHqDs&amp;_nc_oc=AdoyE3j8vv_iaZLpglwvDVsWRRZTO1_opwKmno9XzdE6Bw4PsPPeayKNL24i4ry7Izw&amp;_nc_zt=24&amp;_nc_ht=scontent-icn2-1.cdninstagram.com&amp;_nc_gid=QT3kFx0A8hXn0Q5WtiKIAw&amp;_nc_ss=7fa02&amp;oh=00_AQLNus1JJ5v_C8bxlLLKSus6bARxASc32CYumNmeiM_GQA&amp;oe=6AA981DC" TargetMode="External" Id="rId74" /><Relationship Type="http://schemas.openxmlformats.org/officeDocument/2006/relationships/hyperlink" Target="https://www.instagram.com/mintcardjapan/" TargetMode="External" Id="rId75" /><Relationship Type="http://schemas.openxmlformats.org/officeDocument/2006/relationships/hyperlink" Target="https://img07.shop-pro.jp/PA01031/426/PA01031426.png?cmsp_timestamp=20260909154403" TargetMode="External" Id="rId76" /><Relationship Type="http://schemas.openxmlformats.org/officeDocument/2006/relationships/hyperlink" Target="https://scontent-icn2-1.cdninstagram.com/v/t51.82787-19/604740660_18059372816642657_3350166706630106538_n.jpg?stp=dst-jpg_s150x150_tt6&amp;_nc_cat=106&amp;ccb=7-5&amp;_nc_sid=f7ccc5&amp;efg=eyJ2ZW5jb2RlX3RhZyI6InByb2ZpbGVfcGljLnd3dy40MDAuQzMifQ%3D%3D&amp;_nc_ohc=7kNCEvzHHZ0Q7kNvwH0X5jm&amp;_nc_oc=AdqnWFt3A1Czngb6c4p3Ci0hbtbJ2W7qHvoJs52tn-b3OjjDI8m7yEK4RaQbJM0NU-E&amp;_nc_zt=24&amp;_nc_ht=scontent-icn2-1.cdninstagram.com&amp;_nc_gid=gARWiqER6H87eYbxdJW3WQ&amp;_nc_ss=7fa02&amp;oh=00_AQK7roYcWw-fa3sBdcNy6lUAX9OTzU6PXvQONlnqAB6KwQ&amp;oe=6AAA0A2B" TargetMode="External" Id="rId77" /><Relationship Type="http://schemas.openxmlformats.org/officeDocument/2006/relationships/hyperlink" Target="https://www.instagram.com/pokemon_jpn/" TargetMode="External" Id="rId78" /><Relationship Type="http://schemas.openxmlformats.org/officeDocument/2006/relationships/hyperlink" Target="https://scontent-icn2-1.cdninstagram.com/v/t51.2885-19/23733811_906931792843258_6402748017207672832_n.jpg?stp=dst-jpg_s150x150_tt6&amp;_nc_cat=1&amp;ccb=7-5&amp;_nc_sid=f7ccc5&amp;efg=eyJ2ZW5jb2RlX3RhZyI6InByb2ZpbGVfcGljLnd3dy4zMjAuQzMifQ%3D%3D&amp;_nc_ohc=zO-v04a3G6cQ7kNvwHuLAxB&amp;_nc_oc=AdpcU-tFhCM10WJ8WwTkFW4Uol30jgCCncDsPDTa7H_vsdZT3HEnokQyfXgyGUHqT0g&amp;_nc_zt=24&amp;_nc_ht=scontent-icn2-1.cdninstagram.com&amp;_nc_ss=7fa02&amp;oh=00_AQIkWLSbwxlZBtgvWDBRu91eEOfzoB5C-myKBzG1Hpenwg&amp;oe=6AA9A978" TargetMode="External" Id="rId79" /><Relationship Type="http://schemas.openxmlformats.org/officeDocument/2006/relationships/hyperlink" Target="https://www.instagram.com/girafull_kyoto/" TargetMode="External" Id="rId80" /><Relationship Type="http://schemas.openxmlformats.org/officeDocument/2006/relationships/hyperlink" Target="https://scontent-icn2-1.cdninstagram.com/v/t51.2885-19/391517219_344074381430524_2106365339851292196_n.jpg?stp=dst-jpg_s150x150_tt6&amp;_nc_cat=110&amp;ccb=7-5&amp;_nc_sid=f7ccc5&amp;efg=eyJ2ZW5jb2RlX3RhZyI6InByb2ZpbGVfcGljLnd3dy40MDAuQzMifQ%3D%3D&amp;_nc_ohc=XODoE9jMOckQ7kNvwHcMKLM&amp;_nc_oc=AdrBCuFmayALUa1yZRL8H8HSQf3_HxwpMOnEYuVy26f60Xey1V0i4ZhAwfS2EPOJyCw&amp;_nc_zt=24&amp;_nc_ht=scontent-icn2-1.cdninstagram.com&amp;_nc_ss=7fa02&amp;oh=00_AQJ6Xh07v4pcPzeuMRnnpDpOlHu7VAKMR7QD2VH8bvaVRQ&amp;oe=6AAA08D9" TargetMode="External" Id="rId81" /><Relationship Type="http://schemas.openxmlformats.org/officeDocument/2006/relationships/hyperlink" Target="https://www.c-labo.jp/wordpress/wp-content/uploads/2017/02/658aaa8ddb986063b19c76234a3d75fd.jpg" TargetMode="External" Id="rId82" /><Relationship Type="http://schemas.openxmlformats.org/officeDocument/2006/relationships/hyperlink" Target="https://www.instagram.com/hareruya2_pokeca/" TargetMode="External" Id="rId83" /><Relationship Type="http://schemas.openxmlformats.org/officeDocument/2006/relationships/hyperlink" Target="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" TargetMode="External" Id="rId84" /><Relationship Type="http://schemas.openxmlformats.org/officeDocument/2006/relationships/hyperlink" Target="https://www.instagram.com/bahamut_7777/" TargetMode="External" Id="rId85" /><Relationship Type="http://schemas.openxmlformats.org/officeDocument/2006/relationships/hyperlink" Target="https://scontent-icn2-1.cdninstagram.com/v/t51.2885-19/482725481_1137710804759509_908970472290347087_n.jpg?stp=dst-jpg_s150x150_tt6&amp;_nc_cat=111&amp;ccb=7-5&amp;_nc_sid=f7ccc5&amp;efg=eyJ2ZW5jb2RlX3RhZyI6InByb2ZpbGVfcGljLnd3dy45NzYuQzMifQ%3D%3D&amp;_nc_ohc=6FVnzn6ceqIQ7kNvwFQruNH&amp;_nc_oc=AdoE_1csyXFz0NmBssASj_cQYKBwDzKDO7yHbzg6wTdGe5u8J1RyPyN0_JwLm_V7waE&amp;_nc_zt=24&amp;_nc_ht=scontent-icn2-1.cdninstagram.com&amp;_nc_ss=7fa02&amp;oh=00_AQIm84SgePBjEklVqubIJhgXqaksjT6dIQeeuvjAe-2Anw&amp;oe=6AA9FC3D" TargetMode="External" Id="rId86" /><Relationship Type="http://schemas.openxmlformats.org/officeDocument/2006/relationships/hyperlink" Target="https://www.c-labo.jp/wordpress/wp-content/uploads/2017/02/0dc1c40e837b2e8d47e26c73eea6080e.jpg" TargetMode="External" Id="rId87" /><Relationship Type="http://schemas.openxmlformats.org/officeDocument/2006/relationships/hyperlink" Target="https://www.instagram.com/pokemon_jpn/" TargetMode="External" Id="rId88" /><Relationship Type="http://schemas.openxmlformats.org/officeDocument/2006/relationships/hyperlink" Target="https://scontent-icn2-1.cdninstagram.com/v/t51.2885-19/23733811_906931792843258_6402748017207672832_n.jpg?stp=dst-jpg_s150x150_tt6&amp;_nc_cat=1&amp;ccb=7-5&amp;_nc_sid=f7ccc5&amp;efg=eyJ2ZW5jb2RlX3RhZyI6InByb2ZpbGVfcGljLnd3dy4zMjAuQzMifQ%3D%3D&amp;_nc_ohc=zO-v04a3G6cQ7kNvwHuLAxB&amp;_nc_oc=AdpcU-tFhCM10WJ8WwTkFW4Uol30jgCCncDsPDTa7H_vsdZT3HEnokQyfXgyGUHqT0g&amp;_nc_zt=24&amp;_nc_ht=scontent-icn2-1.cdninstagram.com&amp;_nc_ss=7fa02&amp;oh=00_AQIkWLSbwxlZBtgvWDBRu91eEOfzoB5C-myKBzG1Hpenwg&amp;oe=6AA9A978" TargetMode="External" Id="rId89" /><Relationship Type="http://schemas.openxmlformats.org/officeDocument/2006/relationships/hyperlink" Target="https://www.instagram.com/mintcardjapan/" TargetMode="External" Id="rId90" /><Relationship Type="http://schemas.openxmlformats.org/officeDocument/2006/relationships/hyperlink" Target="https://scontent-icn2-1.cdninstagram.com/v/t51.82787-19/604740660_18059372816642657_3350166706630106538_n.jpg?stp=dst-jpg_s150x150_tt6&amp;_nc_cat=106&amp;ccb=7-5&amp;_nc_sid=f7ccc5&amp;efg=eyJ2ZW5jb2RlX3RhZyI6InByb2ZpbGVfcGljLnd3dy40MDAuQzMifQ%3D%3D&amp;_nc_ohc=7kNCEvzHHZ0Q7kNvwH0X5jm&amp;_nc_oc=AdqnWFt3A1Czngb6c4p3Ci0hbtbJ2W7qHvoJs52tn-b3OjjDI8m7yEK4RaQbJM0NU-E&amp;_nc_zt=24&amp;_nc_ht=scontent-icn2-1.cdninstagram.com&amp;_nc_gid=gARWiqER6H87eYbxdJW3WQ&amp;_nc_ss=7fa02&amp;oh=00_AQK7roYcWw-fa3sBdcNy6lUAX9OTzU6PXvQONlnqAB6KwQ&amp;oe=6AAA0A2B" TargetMode="External" Id="rId91" /><Relationship Type="http://schemas.openxmlformats.org/officeDocument/2006/relationships/hyperlink" Target="https://www.instagram.com/pokemon_jpn/" TargetMode="External" Id="rId92" /><Relationship Type="http://schemas.openxmlformats.org/officeDocument/2006/relationships/hyperlink" Target="https://scontent-icn2-1.cdninstagram.com/v/t51.2885-19/23733811_906931792843258_6402748017207672832_n.jpg?stp=dst-jpg_s150x150_tt6&amp;_nc_cat=1&amp;ccb=7-5&amp;_nc_sid=f7ccc5&amp;efg=eyJ2ZW5jb2RlX3RhZyI6InByb2ZpbGVfcGljLnd3dy4zMjAuQzMifQ%3D%3D&amp;_nc_ohc=zO-v04a3G6cQ7kNvwHuLAxB&amp;_nc_oc=AdpcU-tFhCM10WJ8WwTkFW4Uol30jgCCncDsPDTa7H_vsdZT3HEnokQyfXgyGUHqT0g&amp;_nc_zt=24&amp;_nc_ht=scontent-icn2-1.cdninstagram.com&amp;_nc_ss=7fa02&amp;oh=00_AQIkWLSbwxlZBtgvWDBRu91eEOfzoB5C-myKBzG1Hpenwg&amp;oe=6AA9A978" TargetMode="External" Id="rId93" /><Relationship Type="http://schemas.openxmlformats.org/officeDocument/2006/relationships/hyperlink" Target="https://www.instagram.com/hareruya2_pokeca/" TargetMode="External" Id="rId94" /><Relationship Type="http://schemas.openxmlformats.org/officeDocument/2006/relationships/hyperlink" Target="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" TargetMode="External" Id="rId95" /><Relationship Type="http://schemas.openxmlformats.org/officeDocument/2006/relationships/hyperlink" Target="https://www.instagram.com/mint_minamoa_hiroshima/" TargetMode="External" Id="rId96" /><Relationship Type="http://schemas.openxmlformats.org/officeDocument/2006/relationships/hyperlink" Target="https://img07.shop-pro.jp/PA01031/426/product/186260189.jpg?cmsp_timestamp=20250702151434" TargetMode="External" Id="rId97" /><Relationship Type="http://schemas.openxmlformats.org/officeDocument/2006/relationships/hyperlink" Target="https://www.c-labo.jp/wordpress/wp-content/uploads/2017/02/c176bc6089f56de74ebd9fd10a975209.jpg" TargetMode="External" Id="rId98" /><Relationship Type="http://schemas.openxmlformats.org/officeDocument/2006/relationships/hyperlink" Target="https://www.instagram.com/mintcardjapan/" TargetMode="External" Id="rId99" /><Relationship Type="http://schemas.openxmlformats.org/officeDocument/2006/relationships/hyperlink" Target="https://scontent-icn2-1.cdninstagram.com/v/t51.82787-19/604740660_18059372816642657_3350166706630106538_n.jpg?stp=dst-jpg_s150x150_tt6&amp;_nc_cat=106&amp;ccb=7-5&amp;_nc_sid=f7ccc5&amp;efg=eyJ2ZW5jb2RlX3RhZyI6InByb2ZpbGVfcGljLnd3dy40MDAuQzMifQ%3D%3D&amp;_nc_ohc=7kNCEvzHHZ0Q7kNvwH0X5jm&amp;_nc_oc=AdqnWFt3A1Czngb6c4p3Ci0hbtbJ2W7qHvoJs52tn-b3OjjDI8m7yEK4RaQbJM0NU-E&amp;_nc_zt=24&amp;_nc_ht=scontent-icn2-1.cdninstagram.com&amp;_nc_gid=gARWiqER6H87eYbxdJW3WQ&amp;_nc_ss=7fa02&amp;oh=00_AQK7roYcWw-fa3sBdcNy6lUAX9OTzU6PXvQONlnqAB6KwQ&amp;oe=6AAA0A2B" TargetMode="External" Id="rId100" /><Relationship Type="http://schemas.openxmlformats.org/officeDocument/2006/relationships/hyperlink" Target="https://www.instagram.com/dorasutagram/" TargetMode="External" Id="rId101" /><Relationship Type="http://schemas.openxmlformats.org/officeDocument/2006/relationships/hyperlink" Target="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" TargetMode="External" Id="rId102" /><Relationship Type="http://schemas.openxmlformats.org/officeDocument/2006/relationships/hyperlink" Target="https://www.instagram.com/hareruya2_pokeca/" TargetMode="External" Id="rId103" /><Relationship Type="http://schemas.openxmlformats.org/officeDocument/2006/relationships/hyperlink" Target="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" TargetMode="External" Id="rId104" /><Relationship Type="http://schemas.openxmlformats.org/officeDocument/2006/relationships/table" Target="/xl/tables/table2.xml" Id="rId10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5" customWidth="1" min="3" max="3"/>
    <col width="10" customWidth="1" min="4" max="4"/>
    <col width="27" customWidth="1" min="5" max="5"/>
    <col width="18" customWidth="1" min="6" max="6"/>
    <col width="42" customWidth="1" min="7" max="7"/>
    <col width="34" customWidth="1" min="8" max="8"/>
    <col width="58" customWidth="1" min="9" max="9"/>
    <col width="46" customWidth="1" min="10" max="10"/>
    <col width="13" customWidth="1" min="11" max="11"/>
    <col width="18" customWidth="1" min="12" max="12"/>
    <col width="34" customWidth="1" min="13" max="13"/>
    <col width="60" customWidth="1" min="14" max="14"/>
    <col width="14" customWidth="1" min="15" max="15"/>
    <col width="60" customWidth="1" min="16" max="16"/>
    <col width="18" customWidth="1" min="17" max="17"/>
    <col width="40" customWidth="1" min="18" max="18"/>
    <col width="44" customWidth="1" min="19" max="19"/>
  </cols>
  <sheetData>
    <row r="1" ht="30" customHeight="1">
      <c r="A1" s="9" t="inlineStr">
        <is>
          <t>ARVO 한국 카드샵 DB · 지역/상권별 정리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8" customHeight="1">
      <c r="A2" s="17" t="inlineStr">
        <is>
          <t>서울은 강남 → 성수·건대 → 홍대·신촌 등 상권 기준으로 세분화했습니다. 서울 1번 상권은 강남이며, 첫 매장은 카드스토리입니다. 영업시간은 공개적으로 확인된 매장만 기재했습니다.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 ht="28" customHeight="1">
      <c r="A4" s="22" t="inlineStr">
        <is>
          <t>시도</t>
        </is>
      </c>
      <c r="B4" s="22" t="inlineStr">
        <is>
          <t>지역순번</t>
        </is>
      </c>
      <c r="C4" s="22" t="inlineStr">
        <is>
          <t>지역/상권</t>
        </is>
      </c>
      <c r="D4" s="22" t="inlineStr">
        <is>
          <t>지역내순번</t>
        </is>
      </c>
      <c r="E4" s="22" t="inlineStr">
        <is>
          <t>카드샵명</t>
        </is>
      </c>
      <c r="F4" s="22" t="inlineStr">
        <is>
          <t>공식/공개번호</t>
        </is>
      </c>
      <c r="G4" s="22" t="inlineStr">
        <is>
          <t>주소</t>
        </is>
      </c>
      <c r="H4" s="22" t="inlineStr">
        <is>
          <t>영업시간</t>
        </is>
      </c>
      <c r="I4" s="22" t="inlineStr">
        <is>
          <t>대표 한줄 소개</t>
        </is>
      </c>
      <c r="J4" s="22" t="inlineStr">
        <is>
          <t>출처</t>
        </is>
      </c>
      <c r="K4" s="22" t="inlineStr">
        <is>
          <t>확인일</t>
        </is>
      </c>
      <c r="L4" s="27" t="inlineStr">
        <is>
          <t>인스타그램</t>
        </is>
      </c>
      <c r="M4" s="27" t="inlineStr">
        <is>
          <t>인스타그램 URL</t>
        </is>
      </c>
      <c r="N4" s="27" t="inlineStr">
        <is>
          <t>대표 이미지 URL</t>
        </is>
      </c>
      <c r="O4" s="27" t="inlineStr">
        <is>
          <t>이미지 출처</t>
        </is>
      </c>
      <c r="P4" s="27" t="inlineStr">
        <is>
          <t>인스타 프로필 사진 URL(단기 만료)</t>
        </is>
      </c>
      <c r="Q4" s="27" t="inlineStr">
        <is>
          <t>X(트위터)</t>
        </is>
      </c>
      <c r="R4" s="27" t="inlineStr">
        <is>
          <t>네이버 플레이스</t>
        </is>
      </c>
      <c r="S4" s="27" t="inlineStr">
        <is>
          <t>비고</t>
        </is>
      </c>
    </row>
    <row r="5" ht="48" customHeight="1">
      <c r="A5" s="90" t="inlineStr">
        <is>
          <t>서울특별시</t>
        </is>
      </c>
      <c r="B5" s="91" t="inlineStr">
        <is>
          <t>01</t>
        </is>
      </c>
      <c r="C5" s="91" t="inlineStr">
        <is>
          <t>강남</t>
        </is>
      </c>
      <c r="D5" s="91" t="n">
        <v>1</v>
      </c>
      <c r="E5" s="88" t="inlineStr">
        <is>
          <t>카드스토리</t>
        </is>
      </c>
      <c r="F5" s="88" t="str"/>
      <c r="G5" s="88" t="inlineStr">
        <is>
          <t>서울 강남구 도산대로34길 38 (논현동 73-39), SNP사옥 B1</t>
        </is>
      </c>
      <c r="H5" s="88" t="inlineStr">
        <is>
          <t>월 휴무 / 화~일 14:00~21:00</t>
        </is>
      </c>
      <c r="I5" s="88" t="inlineStr">
        <is>
          <t>포켓몬·원피스 TCG를 주력으로 운영하며 국내 최저가 수준의 박스 판매를 지향합니다. 무료 위탁판매를 통해 싱글·등급카드의 저가~고가 라인을 폭넓게 취급하고, 엔터·제작사 네트워크를 바탕으로 연예인 방문도 잦은 강남 카드샵입니다.</t>
        </is>
      </c>
      <c r="J5" s="83" t="inlineStr">
        <is>
          <t>사용자 제공 정보</t>
        </is>
      </c>
      <c r="K5" s="84" t="inlineStr">
        <is>
          <t>2026-09-11</t>
        </is>
      </c>
      <c r="L5" s="178" t="inlineStr">
        <is>
          <t>@cardstory.tcg</t>
        </is>
      </c>
      <c r="M5" s="180" t="inlineStr">
        <is>
          <t>https://www.instagram.com/cardstory.tcg/</t>
        </is>
      </c>
      <c r="N5" s="180" t="inlineStr">
        <is>
          <t>https://scontent-icn2-1.cdninstagram.com/v/t51.82787-19/775524702_17936546637347019_4392681646294703985_n.jpg?stp=dst-jpg_s150x150_tt6&amp;_nc_cat=101&amp;ccb=7-5&amp;_nc_sid=f7ccc5&amp;efg=eyJ2ZW5jb2RlX3RhZyI6InByb2ZpbGVfcGljLnd3dy4xMDgwLkMzIn0%3D&amp;_nc_ohc=Iw0WdPHJTd8Q7kNvwF2nK29&amp;_nc_oc=AdrxHXUGqorSShnzcdXGZMWXbs1ovU6xhdFLEBtEgLmBXdD-cHTZTlYQk-JW1OX4jBk&amp;_nc_zt=24&amp;_nc_ht=scontent-icn2-1.cdninstagram.com&amp;_nc_gid=7ClEtXxmr94b-q5IPTwhxw&amp;_nc_ss=7fa02&amp;oh=00_AQKtCEq_0PDFEeVi1pMgwfAMSh4rNXKXSE8ZMNO2IuQMGw&amp;oe=6AAA1077</t>
        </is>
      </c>
      <c r="O5" s="178" t="inlineStr">
        <is>
          <t>인스타 프로필(단기 만료)</t>
        </is>
      </c>
      <c r="P5" s="178" t="n"/>
      <c r="Q5" s="178" t="n"/>
      <c r="R5" s="178" t="n"/>
      <c r="S5" s="179" t="inlineStr">
        <is>
          <t>상호·주소(논현동 73-39) 정확히 일치</t>
        </is>
      </c>
    </row>
    <row r="6" ht="48" customHeight="1">
      <c r="A6" s="94" t="inlineStr">
        <is>
          <t>서울특별시</t>
        </is>
      </c>
      <c r="B6" s="95" t="inlineStr">
        <is>
          <t>01</t>
        </is>
      </c>
      <c r="C6" s="95" t="inlineStr">
        <is>
          <t>강남</t>
        </is>
      </c>
      <c r="D6" s="95" t="n">
        <v>2</v>
      </c>
      <c r="E6" s="50" t="inlineStr">
        <is>
          <t>HOBBY KOREA</t>
        </is>
      </c>
      <c r="F6" s="50" t="inlineStr">
        <is>
          <t>02-6368-1120</t>
        </is>
      </c>
      <c r="G6" s="50" t="inlineStr">
        <is>
          <t>서울 서초구 서초대로77길 55 에이프로스퀘어 108호</t>
        </is>
      </c>
      <c r="H6" s="50" t="inlineStr">
        <is>
          <t>평일 11:00~21:00 / 토·일·공휴일 11:00~18:00</t>
        </is>
      </c>
      <c r="I6" s="50" t="inlineStr">
        <is>
          <t>스포츠 카드와 사인·메모라빌리아를 중심으로 탑스·어퍼덱 등 스포츠·엔터테인먼트 카드를 취급하는 전문 하비숍입니다.</t>
        </is>
      </c>
      <c r="J6" s="50" t="inlineStr">
        <is>
          <t>https://www.hobbykoreaglobal.com/Company</t>
        </is>
      </c>
      <c r="K6" s="51" t="inlineStr">
        <is>
          <t>2026-09-11</t>
        </is>
      </c>
      <c r="L6" s="178" t="inlineStr">
        <is>
          <t>@hobbykorea</t>
        </is>
      </c>
      <c r="M6" s="180" t="inlineStr">
        <is>
          <t>https://www.instagram.com/hobbykorea/</t>
        </is>
      </c>
      <c r="N6" s="180" t="inlineStr">
        <is>
          <t>https://ldb-phinf.pstatic.net/20250923_189/1758587248257FK7PO_JPEG/%B8%C5%C0%E5_%BB%E7%C1%F8_2_%281%29.jpg</t>
        </is>
      </c>
      <c r="O6" s="178" t="inlineStr">
        <is>
          <t>네이버 플레이스</t>
        </is>
      </c>
      <c r="P6" s="180" t="inlineStr">
        <is>
          <t>https://scontent-icn2-1.cdninstagram.com/v/t51.82787-19/573372031_18296205073286670_474594460697825882_n.jpg?stp=dst-jpg_s150x150_tt6&amp;_nc_cat=107&amp;ccb=7-5&amp;_nc_sid=f7ccc5&amp;efg=eyJ2ZW5jb2RlX3RhZyI6InByb2ZpbGVfcGljLnd3dy40MTQuQzMifQ%3D%3D&amp;_nc_ohc=vmVnIQGWP1AQ7kNvwGC0qkV&amp;_nc_oc=AdqNEea3m6lnBMlxBKNpx_9rg4Cpk8cQCk-vg3hsYafPNVKZTCnKpEu-AUlV-jBaAWs&amp;_nc_zt=24&amp;_nc_ht=scontent-icn2-1.cdninstagram.com&amp;_nc_gid=s-r3_dqIUIZKcC2q_mkSIg&amp;_nc_ss=7fa02&amp;oh=00_AQLHN4-oz-_Sfjl5VZuo8m4l_767II-f1VNokYXN7TWAkQ&amp;oe=6AA9B0C8</t>
        </is>
      </c>
      <c r="Q6" s="178" t="n"/>
      <c r="R6" s="180" t="inlineStr">
        <is>
          <t>https://m.place.naver.com/place/1361503438/home</t>
        </is>
      </c>
      <c r="S6" s="179" t="inlineStr">
        <is>
          <t>ig_high, name matches exactly (Hobby Korea/하비코리아)</t>
        </is>
      </c>
    </row>
    <row r="7" ht="48" customHeight="1">
      <c r="A7" s="94" t="inlineStr">
        <is>
          <t>서울특별시</t>
        </is>
      </c>
      <c r="B7" s="95" t="inlineStr">
        <is>
          <t>01</t>
        </is>
      </c>
      <c r="C7" s="95" t="inlineStr">
        <is>
          <t>강남</t>
        </is>
      </c>
      <c r="D7" s="95" t="n">
        <v>3</v>
      </c>
      <c r="E7" s="50" t="inlineStr">
        <is>
          <t>도곡 듀얼샵</t>
        </is>
      </c>
      <c r="F7" s="50" t="inlineStr">
        <is>
          <t>02-574-6086</t>
        </is>
      </c>
      <c r="G7" s="50" t="inlineStr">
        <is>
          <t>서울 강남구 논현로36길 27, 지하</t>
        </is>
      </c>
      <c r="H7" s="50" t="str"/>
      <c r="I7" s="50" t="inlineStr">
        <is>
          <t>원피스 카드게임 공식 이벤트 개최 이력이 확인되는 지역 TCG 매장으로 카드 판매와 대회·교류 중심의 플레이 공간입니다.</t>
        </is>
      </c>
      <c r="J7" s="50" t="inlineStr">
        <is>
          <t>https://www.google.com/maps/search/?api=1&amp;query=%EB%8F%84%EA%B3%A1%20%EB%93%80%EC%96%BC%EC%83%B5%20%EC%84%9C%EC%9A%B8%20%EA%B0%95%EB%82%A8%EA%B5%AC%20%EB%85%BC%ED%98%84%EB%A1%9C36%EA%B8%B8%2027%2C%20%EC%A7%80%ED%95%98</t>
        </is>
      </c>
      <c r="K7" s="51" t="inlineStr">
        <is>
          <t>2026-09-11</t>
        </is>
      </c>
      <c r="L7" s="178" t="inlineStr">
        <is>
          <t>없음</t>
        </is>
      </c>
      <c r="M7" s="178" t="n"/>
      <c r="N7" s="180" t="inlineStr">
        <is>
          <t>https://ldb-phinf.pstatic.net/20221210_258/1670599035030iTcyQ_JPEG/1670598976247-1.jpg</t>
        </is>
      </c>
      <c r="O7" s="178" t="inlineStr">
        <is>
          <t>네이버 플레이스</t>
        </is>
      </c>
      <c r="P7" s="178" t="n"/>
      <c r="Q7" s="178" t="inlineStr">
        <is>
          <t>@DG_duel_shop</t>
        </is>
      </c>
      <c r="R7" s="180" t="inlineStr">
        <is>
          <t>https://m.place.naver.com/place/12073239/home</t>
        </is>
      </c>
      <c r="S7" s="179" t="inlineStr">
        <is>
          <t>기각: dogoklib:public library account (강남구립 도곡정보문화도서관), not a card shop, polyparkluv:unrelated name, skipped without fetch</t>
        </is>
      </c>
    </row>
    <row r="8" ht="48" customHeight="1">
      <c r="A8" s="94" t="inlineStr">
        <is>
          <t>서울특별시</t>
        </is>
      </c>
      <c r="B8" s="95" t="inlineStr">
        <is>
          <t>01</t>
        </is>
      </c>
      <c r="C8" s="95" t="inlineStr">
        <is>
          <t>강남</t>
        </is>
      </c>
      <c r="D8" s="95" t="n">
        <v>4</v>
      </c>
      <c r="E8" s="50" t="inlineStr">
        <is>
          <t>카드냥 역삼</t>
        </is>
      </c>
      <c r="F8" s="50" t="inlineStr">
        <is>
          <t>02-568-3778</t>
        </is>
      </c>
      <c r="G8" s="50" t="inlineStr">
        <is>
          <t>서울 강남구 논현로77길 9, 태원빌딩 4층 402호</t>
        </is>
      </c>
      <c r="H8" s="50" t="inlineStr">
        <is>
          <t>월·화·목 14:00~19:00 / 수·금 14:00~22:30 / 주말·공휴일 13:00~22:30</t>
        </is>
      </c>
      <c r="I8" s="50" t="inlineStr">
        <is>
          <t>포켓몬 공식 카드샵·이벤트와 원피스 공식 대회 이력이 함께 확인되는 멀티 TCG 매장으로 상품 구매와 플레이 이용이 가능합니다.</t>
        </is>
      </c>
      <c r="J8" s="50" t="inlineStr">
        <is>
          <t>https://www.dogam.app/community/topic/info</t>
        </is>
      </c>
      <c r="K8" s="51" t="inlineStr">
        <is>
          <t>2026-09-11</t>
        </is>
      </c>
      <c r="L8" s="178" t="inlineStr">
        <is>
          <t>없음</t>
        </is>
      </c>
      <c r="M8" s="178" t="n"/>
      <c r="N8" s="180" t="inlineStr">
        <is>
          <t>https://ldb-phinf.pstatic.net/20220721_113/1658389765702UqIpC_PNG/%C4%B8%C3%B3.PNG</t>
        </is>
      </c>
      <c r="O8" s="178" t="inlineStr">
        <is>
          <t>네이버 플레이스</t>
        </is>
      </c>
      <c r="P8" s="178" t="n"/>
      <c r="Q8" s="178" t="inlineStr">
        <is>
          <t>@cardnyang_tcg</t>
        </is>
      </c>
      <c r="R8" s="180" t="inlineStr">
        <is>
          <t>https://m.place.naver.com/place/1587645711/home</t>
        </is>
      </c>
      <c r="S8" s="179" t="n"/>
    </row>
    <row r="9" ht="48" customHeight="1">
      <c r="A9" s="94" t="inlineStr">
        <is>
          <t>서울특별시</t>
        </is>
      </c>
      <c r="B9" s="95" t="inlineStr">
        <is>
          <t>01</t>
        </is>
      </c>
      <c r="C9" s="95" t="inlineStr">
        <is>
          <t>강남</t>
        </is>
      </c>
      <c r="D9" s="95" t="n">
        <v>5</v>
      </c>
      <c r="E9" s="50" t="inlineStr">
        <is>
          <t>카드하비 Cardhobby</t>
        </is>
      </c>
      <c r="F9" s="50" t="inlineStr">
        <is>
          <t>02-3452-0120</t>
        </is>
      </c>
      <c r="G9" s="50" t="inlineStr">
        <is>
          <t>서울 강남구 테헤란로82길 14, 1층</t>
        </is>
      </c>
      <c r="H9" s="50" t="inlineStr">
        <is>
          <t>월~토 11:00~22:00 / 일 13:00~22:00</t>
        </is>
      </c>
      <c r="I9" s="50" t="inlineStr">
        <is>
          <t>강남권 스포츠카드 전문 매장으로 스포츠 트레이딩 카드와 수집용품·관련 컬렉터 상품을 취급합니다.</t>
        </is>
      </c>
      <c r="J9" s="50" t="inlineStr">
        <is>
          <t>https://www.twstalker.com/cardhobby_kr</t>
        </is>
      </c>
      <c r="K9" s="51" t="inlineStr">
        <is>
          <t>2026-09-11</t>
        </is>
      </c>
      <c r="L9" s="178" t="inlineStr">
        <is>
          <t>@cardhobby.us</t>
        </is>
      </c>
      <c r="M9" s="180" t="inlineStr">
        <is>
          <t>https://www.instagram.com/cardhobby.us/</t>
        </is>
      </c>
      <c r="N9" s="180" t="inlineStr">
        <is>
          <t>https://ldb-phinf.pstatic.net/20250502_133/1746162170537S6fNF_JPEG/KakaoTalk_20250502_140207905.jpg</t>
        </is>
      </c>
      <c r="O9" s="178" t="inlineStr">
        <is>
          <t>네이버 플레이스</t>
        </is>
      </c>
      <c r="P9" s="180" t="inlineStr">
        <is>
          <t>https://scontent-icn2-1.cdninstagram.com/v/t51.82787-19/756434534_18403118371093026_6839739890969634620_n.jpg?stp=dst-jpg_s150x150_tt6&amp;_nc_cat=106&amp;ccb=7-5&amp;_nc_sid=f7ccc5&amp;efg=eyJ2ZW5jb2RlX3RhZyI6InByb2ZpbGVfcGljLnd3dy4xMDU3LkMzIn0%3D&amp;_nc_ohc=WsXISDUkmLoQ7kNvwEdUxB6&amp;_nc_oc=AdoqXGulL8W2_glLiNP4S3TH_ic1kQmhxe87Nm0O6402gQGDibAkj3X0SE85-9J_4tA&amp;_nc_zt=24&amp;_nc_ht=scontent-icn2-1.cdninstagram.com&amp;_nc_gid=IjK4wP7rRkMj3zdVoQ58PQ&amp;_nc_ss=7fa02&amp;oh=00_AQKPamarime6KPuUeqKYr7CFkydliINyNLpDMzDx2jQzyQ&amp;oe=6AA9B271</t>
        </is>
      </c>
      <c r="Q9" s="178" t="inlineStr">
        <is>
          <t>@cardhobby_kr</t>
        </is>
      </c>
      <c r="R9" s="180" t="inlineStr">
        <is>
          <t>https://m.place.naver.com/place/2005940214/home</t>
        </is>
      </c>
      <c r="S9" s="179" t="inlineStr">
        <is>
          <t>brand account (global Card Hobby sports-card app/company matching shop name)</t>
        </is>
      </c>
    </row>
    <row r="10" ht="48" customHeight="1">
      <c r="A10" s="94" t="inlineStr">
        <is>
          <t>서울특별시</t>
        </is>
      </c>
      <c r="B10" s="95" t="inlineStr">
        <is>
          <t>01</t>
        </is>
      </c>
      <c r="C10" s="95" t="inlineStr">
        <is>
          <t>강남</t>
        </is>
      </c>
      <c r="D10" s="95" t="n">
        <v>6</v>
      </c>
      <c r="E10" s="50" t="inlineStr">
        <is>
          <t>포카드</t>
        </is>
      </c>
      <c r="F10" s="50" t="inlineStr">
        <is>
          <t>공개 대표번호 미확인</t>
        </is>
      </c>
      <c r="G10" s="50" t="inlineStr">
        <is>
          <t>서울 강남구 압구정로10길 14, 4층</t>
        </is>
      </c>
      <c r="H10" s="50" t="str"/>
      <c r="I10" s="50" t="inlineStr">
        <is>
          <t>원피스 카드게임 공식 이벤트 개최 이력이 확인되는 지역 TCG 매장으로 카드 판매와 대회·교류 중심의 플레이 공간입니다.</t>
        </is>
      </c>
      <c r="J10" s="50" t="inlineStr">
        <is>
          <t>https://www.google.com/maps/search/?api=1&amp;query=%ED%8F%AC%EC%B9%B4%EB%93%9C%20%EC%84%9C%EC%9A%B8%20%EA%B0%95%EB%82%A8%EA%B5%AC%20%EC%95%95%EA%B5%AC%EC%A0%95%EB%A1%9C10%EA%B8%B8%2014%2C%204%EC%B8%B5</t>
        </is>
      </c>
      <c r="K10" s="51" t="inlineStr">
        <is>
          <t>2026-09-11</t>
        </is>
      </c>
      <c r="L10" s="178" t="inlineStr">
        <is>
          <t>@4cardbreak</t>
        </is>
      </c>
      <c r="M10" s="180" t="inlineStr">
        <is>
          <t>https://www.instagram.com/4cardbreak/</t>
        </is>
      </c>
      <c r="N10" s="180" t="inlineStr">
        <is>
          <t>https://ldb-phinf.pstatic.net/20240120_186/17057490577893j5IS_JPEG/20240104_121247.jpg</t>
        </is>
      </c>
      <c r="O10" s="178" t="inlineStr">
        <is>
          <t>네이버 플레이스</t>
        </is>
      </c>
      <c r="P10" s="180" t="inlineStr">
        <is>
          <t>https://scontent-icn2-1.cdninstagram.com/v/t51.2885-19/430325976_706700854946963_7517039093672060029_n.jpg?stp=dst-jpg_s150x150_tt6&amp;_nc_cat=101&amp;ccb=7-5&amp;_nc_sid=f7ccc5&amp;efg=eyJ2ZW5jb2RlX3RhZyI6InByb2ZpbGVfcGljLnd3dy42MDAuQzMifQ%3D%3D&amp;_nc_ohc=0PX2KyO-b2IQ7kNvwGfad4E&amp;_nc_oc=AdpaFieSJbj2Xseseec7cIFfR5-vQprz09wHEYSguVRracaeGR1hsJPUj7auOASRisQ&amp;_nc_zt=24&amp;_nc_ht=scontent-icn2-1.cdninstagram.com&amp;_nc_ss=7fa02&amp;oh=00_AQJYnI5PkAIYtuLfTqOrdrIf5thtTUMtxXrhH2PYpbfAVA&amp;oe=6AA98A26</t>
        </is>
      </c>
      <c r="Q10" s="178" t="n"/>
      <c r="R10" s="180" t="inlineStr">
        <is>
          <t>https://m.place.naver.com/place/1229355383/home</t>
        </is>
      </c>
      <c r="S10" s="179" t="inlineStr">
        <is>
          <t>brand '4card'≈포카드 pun, bio address (가로수길) adjacent to shop addr (압구정로10길)</t>
        </is>
      </c>
    </row>
    <row r="11" ht="48" customHeight="1">
      <c r="A11" s="94" t="inlineStr">
        <is>
          <t>서울특별시</t>
        </is>
      </c>
      <c r="B11" s="95" t="inlineStr">
        <is>
          <t>02</t>
        </is>
      </c>
      <c r="C11" s="95" t="inlineStr">
        <is>
          <t>성수·건대</t>
        </is>
      </c>
      <c r="D11" s="95" t="n">
        <v>1</v>
      </c>
      <c r="E11" s="50" t="inlineStr">
        <is>
          <t>미카엘 G 프로젝트</t>
        </is>
      </c>
      <c r="F11" s="50" t="inlineStr">
        <is>
          <t>02-447-6279</t>
        </is>
      </c>
      <c r="G11" s="50" t="inlineStr">
        <is>
          <t>서울 광진구 구의강변로 52, 2층 201호</t>
        </is>
      </c>
      <c r="H11" s="50" t="str"/>
      <c r="I11" s="50" t="inlineStr">
        <is>
          <t>원피스 카드게임 공식 이벤트 개최 이력이 확인되는 지역 TCG 매장으로 카드 판매와 대회·교류 중심의 플레이 공간입니다.</t>
        </is>
      </c>
      <c r="J11" s="50" t="inlineStr">
        <is>
          <t>https://www.google.com/maps/search/?api=1&amp;query=%EB%AF%B8%EC%B9%B4%EC%97%98%20G%20%ED%94%84%EB%A1%9C%EC%A0%9D%ED%8A%B8%20%EC%84%9C%EC%9A%B8%20%EA%B4%91%EC%A7%84%EA%B5%AC%20%EA%B5%AC%EC%9D%98%EA%B0%95%EB%B3%80%EB%A1%9C%2052%2C%202%EC%B8%B5%20201%ED%98%B8</t>
        </is>
      </c>
      <c r="K11" s="51" t="inlineStr">
        <is>
          <t>2026-09-11</t>
        </is>
      </c>
      <c r="L11" s="178" t="inlineStr">
        <is>
          <t>없음</t>
        </is>
      </c>
      <c r="M11" s="178" t="n"/>
      <c r="N11" s="178" t="n"/>
      <c r="O11" s="178" t="n"/>
      <c r="P11" s="178" t="n"/>
      <c r="Q11" s="178" t="n"/>
      <c r="R11" s="178" t="n"/>
      <c r="S11" s="179" t="inlineStr">
        <is>
          <t>네이버 플레이스 미매칭 / 기각: mikaelproject237:skincare/beauty account, unrelated to TCG shop</t>
        </is>
      </c>
    </row>
    <row r="12" ht="48" customHeight="1">
      <c r="A12" s="94" t="inlineStr">
        <is>
          <t>서울특별시</t>
        </is>
      </c>
      <c r="B12" s="95" t="inlineStr">
        <is>
          <t>02</t>
        </is>
      </c>
      <c r="C12" s="95" t="inlineStr">
        <is>
          <t>성수·건대</t>
        </is>
      </c>
      <c r="D12" s="95" t="n">
        <v>2</v>
      </c>
      <c r="E12" s="50" t="inlineStr">
        <is>
          <t>킨들샵</t>
        </is>
      </c>
      <c r="F12" s="50" t="inlineStr">
        <is>
          <t>02-497-7548</t>
        </is>
      </c>
      <c r="G12" s="50" t="inlineStr">
        <is>
          <t>서울 광진구 아차산로 197, 동흥빌딩 4층</t>
        </is>
      </c>
      <c r="H12" s="50" t="str"/>
      <c r="I12" s="50" t="inlineStr">
        <is>
          <t>광진구의 멀티 TCG 매장으로 MTG·포켓몬·Star Wars Unlimited 등 상품과 플레이·교환 이용이 가능한 샵입니다.</t>
        </is>
      </c>
      <c r="J12" s="50" t="inlineStr">
        <is>
          <t>https://www.google.com/maps/search/?api=1&amp;query=%ED%82%A8%EB%93%A4%EC%83%B5%20%EC%84%9C%EC%9A%B8%20%EA%B4%91%EC%A7%84%EA%B5%AC%20%EC%95%84%EC%B0%A8%EC%82%B0%EB%A1%9C%20197%2C%20%EB%8F%99%ED%9D%A5%EB%B9%8C%EB%94%A9%204%EC%B8%B5</t>
        </is>
      </c>
      <c r="K12" s="51" t="inlineStr">
        <is>
          <t>2026-09-11</t>
        </is>
      </c>
      <c r="L12" s="178" t="inlineStr">
        <is>
          <t>@kindleshop</t>
        </is>
      </c>
      <c r="M12" s="180" t="inlineStr">
        <is>
          <t>https://www.instagram.com/kindleshop/</t>
        </is>
      </c>
      <c r="N12" s="180" t="inlineStr">
        <is>
          <t>https://ldb-phinf.pstatic.net/20240425_16/1714034056740xtmD1_PNG/IMG_9716.png</t>
        </is>
      </c>
      <c r="O12" s="178" t="inlineStr">
        <is>
          <t>네이버 플레이스</t>
        </is>
      </c>
      <c r="P12" s="180" t="inlineStr">
        <is>
          <t>https://scontent-icn2-1.cdninstagram.com/v/t51.2885-19/11372054_1607614922825344_1969134053_a.jpg?stp=dst-jpg_s150x150_tt6&amp;_nc_cat=103&amp;ccb=7-5&amp;_nc_sid=f7ccc5&amp;efg=eyJ2ZW5jb2RlX3RhZyI6InByb2ZpbGVfcGljLnd3dy40MDAuQzMifQ%3D%3D&amp;_nc_ohc=Cmgc4HsQ-C8Q7kNvwHgnWw5&amp;_nc_oc=AdqkFtNYb-soQQmD1DEkHOcDtDq0x5tJT77-yRSfRc3urt57xNBEs3KVx4mucy5Q40Y&amp;_nc_zt=24&amp;_nc_ht=scontent-icn2-1.cdninstagram.com&amp;_nc_ss=7f60f&amp;oh=00_AQLdBbrOcNXEmXdG7LH35XJ1kZvByXBvK9QHGvzRSLuSfg&amp;oe=6AA989C6</t>
        </is>
      </c>
      <c r="Q12" s="178" t="n"/>
      <c r="R12" s="180" t="inlineStr">
        <is>
          <t>https://m.place.naver.com/place/36375122/home</t>
        </is>
      </c>
      <c r="S12" s="179" t="inlineStr">
        <is>
          <t>ig_high, exact address match (아차산로 197, 4층)</t>
        </is>
      </c>
    </row>
    <row r="13" ht="48" customHeight="1">
      <c r="A13" s="94" t="inlineStr">
        <is>
          <t>서울특별시</t>
        </is>
      </c>
      <c r="B13" s="95" t="inlineStr">
        <is>
          <t>03</t>
        </is>
      </c>
      <c r="C13" s="95" t="inlineStr">
        <is>
          <t>홍대·신촌</t>
        </is>
      </c>
      <c r="D13" s="95" t="n">
        <v>1</v>
      </c>
      <c r="E13" s="50" t="inlineStr">
        <is>
          <t>Collecto TCG</t>
        </is>
      </c>
      <c r="F13" s="50" t="inlineStr">
        <is>
          <t>010-7522-2379</t>
        </is>
      </c>
      <c r="G13" s="50" t="inlineStr">
        <is>
          <t>서울 서대문구 세무서길 84, 3층</t>
        </is>
      </c>
      <c r="H13" s="50" t="str"/>
      <c r="I13" s="50" t="inlineStr">
        <is>
          <t>서울 서대문구의 TCG 매장 겸 카드 감정·그레이딩 서비스로 포켓몬 수집·인증·슬랩 관련 이용이 가능한 곳입니다.</t>
        </is>
      </c>
      <c r="J13" s="50" t="inlineStr">
        <is>
          <t>https://www.google.com/maps/search/?api=1&amp;query=Collecto%20TCG%20%EC%84%9C%EC%9A%B8%20%EC%84%9C%EB%8C%80%EB%AC%B8%EA%B5%AC%20%EC%84%B8%EB%AC%B4%EC%84%9C%EA%B8%B8%2084%2C%203%EC%B8%B5</t>
        </is>
      </c>
      <c r="K13" s="51" t="inlineStr">
        <is>
          <t>2026-09-11</t>
        </is>
      </c>
      <c r="L13" s="178" t="inlineStr">
        <is>
          <t>@collectotcg</t>
        </is>
      </c>
      <c r="M13" s="180" t="inlineStr">
        <is>
          <t>https://www.instagram.com/collectotcg/</t>
        </is>
      </c>
      <c r="N13" s="180" t="inlineStr">
        <is>
          <t>https://ldb-phinf.pstatic.net/20260820_292/1787206563078FSbaN_JPEG/IMG_1668.jpg</t>
        </is>
      </c>
      <c r="O13" s="178" t="inlineStr">
        <is>
          <t>네이버 플레이스</t>
        </is>
      </c>
      <c r="P13" s="180" t="inlineStr">
        <is>
          <t>https://scontent-icn2-1.cdninstagram.com/v/t51.2885-19/372432021_683454013257340_8678293739207394254_n.jpg?stp=dst-jpg_s150x150_tt6&amp;_nc_cat=102&amp;ccb=7-5&amp;_nc_sid=f7ccc5&amp;efg=eyJ2ZW5jb2RlX3RhZyI6InByb2ZpbGVfcGljLnd3dy4xMDgwLkMzIn0%3D&amp;_nc_ohc=c-grTNdrXGsQ7kNvwEWd4ed&amp;_nc_oc=Adq6g_4_IVx6iOQCWb1yhu4nYngwIAWLh1gIXFErmdHUO96wrBp4ihO9MWiiksyPZFs&amp;_nc_zt=24&amp;_nc_ht=scontent-icn2-1.cdninstagram.com&amp;_nc_ss=7f60f&amp;oh=00_AQKvjjSgQtQQLxhs1j8BuH-h4W9tN01_bvNXF3l1AYMrVQ&amp;oe=6AA9B279</t>
        </is>
      </c>
      <c r="Q13" s="178" t="n"/>
      <c r="R13" s="180" t="inlineStr">
        <is>
          <t>https://m.place.naver.com/place/1764519186/home</t>
        </is>
      </c>
      <c r="S13" s="179" t="inlineStr">
        <is>
          <t>ig_high, exact name match</t>
        </is>
      </c>
    </row>
    <row r="14" ht="48" customHeight="1">
      <c r="A14" s="94" t="inlineStr">
        <is>
          <t>서울특별시</t>
        </is>
      </c>
      <c r="B14" s="95" t="inlineStr">
        <is>
          <t>03</t>
        </is>
      </c>
      <c r="C14" s="95" t="inlineStr">
        <is>
          <t>홍대·신촌</t>
        </is>
      </c>
      <c r="D14" s="95" t="n">
        <v>2</v>
      </c>
      <c r="E14" s="50" t="inlineStr">
        <is>
          <t>Pacific 홍대</t>
        </is>
      </c>
      <c r="F14" s="50" t="inlineStr">
        <is>
          <t>010-2697-5916</t>
        </is>
      </c>
      <c r="G14" s="50" t="inlineStr">
        <is>
          <t>서울 마포구 서교동 365-3</t>
        </is>
      </c>
      <c r="H14" s="50" t="str"/>
      <c r="I14" s="50" t="inlineStr">
        <is>
          <t>홍대권의 포켓몬·원피스·유희왕 중심 TCG 매장으로 정품 밀봉 상품과 카드용품을 폭넓게 취급합니다.</t>
        </is>
      </c>
      <c r="J14" s="50" t="inlineStr">
        <is>
          <t>https://www.google.com/maps/search/?api=1&amp;query=Pacific%20%ED%99%8D%EB%8C%80%20%EC%84%9C%EC%9A%B8%20%EB%A7%88%ED%8F%AC%EA%B5%AC%20%EC%84%9C%EA%B5%90%EB%8F%99%20365-3</t>
        </is>
      </c>
      <c r="K14" s="51" t="inlineStr">
        <is>
          <t>2026-09-11</t>
        </is>
      </c>
      <c r="L14" s="178" t="inlineStr">
        <is>
          <t>@cific777</t>
        </is>
      </c>
      <c r="M14" s="180" t="inlineStr">
        <is>
          <t>https://www.instagram.com/cific777/</t>
        </is>
      </c>
      <c r="N14" s="178" t="n"/>
      <c r="O14" s="178" t="n"/>
      <c r="P14" s="178" t="n"/>
      <c r="Q14" s="178" t="n"/>
      <c r="R14" s="178" t="n"/>
      <c r="S14" s="179" t="inlineStr">
        <is>
          <t>디스플레이명이 상호+지역+TCG 정확히 일치, 로그인월로 프로필사진/바이오 수치는 확인불가</t>
        </is>
      </c>
    </row>
    <row r="15" ht="48" customHeight="1">
      <c r="A15" s="94" t="inlineStr">
        <is>
          <t>서울특별시</t>
        </is>
      </c>
      <c r="B15" s="95" t="inlineStr">
        <is>
          <t>03</t>
        </is>
      </c>
      <c r="C15" s="95" t="inlineStr">
        <is>
          <t>홍대·신촌</t>
        </is>
      </c>
      <c r="D15" s="95" t="n">
        <v>3</v>
      </c>
      <c r="E15" s="50" t="inlineStr">
        <is>
          <t>Play Arena</t>
        </is>
      </c>
      <c r="F15" s="50" t="inlineStr">
        <is>
          <t>공개 대표번호 미확인</t>
        </is>
      </c>
      <c r="G15" s="50" t="inlineStr">
        <is>
          <t>서울 마포구 동교로34길 21, 2층</t>
        </is>
      </c>
      <c r="H15" s="50" t="str"/>
      <c r="I15" s="50" t="inlineStr">
        <is>
          <t>홍대·연남권에서 확인되는 오프라인 TCG 매장. 카드게임 플레이와 상품 구매를 위한 지역 카드샵으로 등록 후보에 적합합니다.</t>
        </is>
      </c>
      <c r="J15" s="50" t="inlineStr">
        <is>
          <t>https://www.google.com/maps/search/?api=1&amp;query=Play%20Arena%20%EC%84%9C%EC%9A%B8%20%EB%A7%88%ED%8F%AC%EA%B5%AC%20%EB%8F%99%EA%B5%90%EB%A1%9C34%EA%B8%B8%2021%2C%202%EC%B8%B5</t>
        </is>
      </c>
      <c r="K15" s="51" t="inlineStr">
        <is>
          <t>2026-09-11</t>
        </is>
      </c>
      <c r="L15" s="178" t="inlineStr">
        <is>
          <t>@playarenatcg</t>
        </is>
      </c>
      <c r="M15" s="180" t="inlineStr">
        <is>
          <t>https://www.instagram.com/playarenatcg/</t>
        </is>
      </c>
      <c r="N15" s="180" t="inlineStr">
        <is>
          <t>https://ldb-phinf.pstatic.net/20260417_96/1776425467962Pttbg_PNG/Gemini_Generated_Image_pwtqhqpwtqhqpwtq.png</t>
        </is>
      </c>
      <c r="O15" s="178" t="inlineStr">
        <is>
          <t>네이버 플레이스</t>
        </is>
      </c>
      <c r="P15" s="180" t="inlineStr">
        <is>
          <t>https://scontent-icn2-1.cdninstagram.com/v/t51.2885-19/451967800_1891821624592529_596577564306718199_n.jpg?stp=dst-jpg_s150x150_tt6&amp;_nc_cat=106&amp;ccb=7-5&amp;_nc_sid=f7ccc5&amp;efg=eyJ2ZW5jb2RlX3RhZyI6InByb2ZpbGVfcGljLnd3dy45NjAuQzMifQ%3D%3D&amp;_nc_ohc=2jX5WqoIcc0Q7kNvwFBOSWR&amp;_nc_oc=AdrW8_gPkYx0uVmDE0IE6m3fA3mYC__J_ZXMx7_stwd3UlR_EyakBAR1LgRb4W9N8TI&amp;_nc_zt=24&amp;_nc_ht=scontent-icn2-1.cdninstagram.com&amp;_nc_ss=7f60f&amp;oh=00_AQK-0GHoSbhPAfQ2uOAEFkEfE11XWmcMdYZt3eSYsE0K4g&amp;oe=6AA9AA57</t>
        </is>
      </c>
      <c r="Q15" s="178" t="n"/>
      <c r="R15" s="180" t="inlineStr">
        <is>
          <t>https://m.place.naver.com/place/1474686661/home</t>
        </is>
      </c>
      <c r="S15" s="179" t="inlineStr">
        <is>
          <t>ig_high, name+region match (홍대 연남동 = 홍대·신촌)</t>
        </is>
      </c>
    </row>
    <row r="16" ht="48" customHeight="1">
      <c r="A16" s="94" t="inlineStr">
        <is>
          <t>서울특별시</t>
        </is>
      </c>
      <c r="B16" s="95" t="inlineStr">
        <is>
          <t>03</t>
        </is>
      </c>
      <c r="C16" s="95" t="inlineStr">
        <is>
          <t>홍대·신촌</t>
        </is>
      </c>
      <c r="D16" s="95" t="n">
        <v>4</v>
      </c>
      <c r="E16" s="50" t="inlineStr">
        <is>
          <t>Rabbits Company</t>
        </is>
      </c>
      <c r="F16" s="50" t="inlineStr">
        <is>
          <t>공개 대표번호 미확인</t>
        </is>
      </c>
      <c r="G16" s="50" t="inlineStr">
        <is>
          <t>서울 마포구 희우정로 112, B1</t>
        </is>
      </c>
      <c r="H16" s="50" t="str"/>
      <c r="I16" s="50" t="inlineStr">
        <is>
          <t>마포구에서 확인되는 TCG 전문 매장. 다양한 카드게임 유저가 방문할 수 있는 지역 오프라인 카드샵으로 분류할 수 있습니다.</t>
        </is>
      </c>
      <c r="J16" s="50" t="inlineStr">
        <is>
          <t>https://www.google.com/maps/search/?api=1&amp;query=Rabbits%20Company%20%EC%84%9C%EC%9A%B8%20%EB%A7%88%ED%8F%AC%EA%B5%AC%20%ED%9D%AC%EC%9A%B0%EC%A0%95%EB%A1%9C%20112%2C%20B1</t>
        </is>
      </c>
      <c r="K16" s="51" t="inlineStr">
        <is>
          <t>2026-09-11</t>
        </is>
      </c>
      <c r="L16" s="178" t="inlineStr">
        <is>
          <t>@rabbitcompany</t>
        </is>
      </c>
      <c r="M16" s="180" t="inlineStr">
        <is>
          <t>https://www.instagram.com/rabbitcompany/</t>
        </is>
      </c>
      <c r="N16" s="180" t="inlineStr">
        <is>
          <t>https://ldb-phinf.pstatic.net/20240527_198/1716798296521X8wXX_JPEG/KakaoTalk_20240527_172342594.jpg</t>
        </is>
      </c>
      <c r="O16" s="178" t="inlineStr">
        <is>
          <t>네이버 플레이스</t>
        </is>
      </c>
      <c r="P16" s="178" t="n"/>
      <c r="Q16" s="178" t="n"/>
      <c r="R16" s="180" t="inlineStr">
        <is>
          <t>https://m.place.naver.com/place/1083720031/home</t>
        </is>
      </c>
      <c r="S16" s="179" t="inlineStr">
        <is>
          <t>상호명 정확 일치하나 매 시도 로그인월로 세부정보 미확인, 최종확신도 중간</t>
        </is>
      </c>
    </row>
    <row r="17" ht="48" customHeight="1">
      <c r="A17" s="94" t="inlineStr">
        <is>
          <t>서울특별시</t>
        </is>
      </c>
      <c r="B17" s="95" t="inlineStr">
        <is>
          <t>03</t>
        </is>
      </c>
      <c r="C17" s="95" t="inlineStr">
        <is>
          <t>홍대·신촌</t>
        </is>
      </c>
      <c r="D17" s="95" t="n">
        <v>5</v>
      </c>
      <c r="E17" s="50" t="inlineStr">
        <is>
          <t>XOXO굿즈샵</t>
        </is>
      </c>
      <c r="F17" s="50" t="inlineStr">
        <is>
          <t>공개 대표번호 미확인</t>
        </is>
      </c>
      <c r="G17" s="50" t="inlineStr">
        <is>
          <t>서울 마포구 독막로15길 24, 지하 1층</t>
        </is>
      </c>
      <c r="H17" s="50" t="str"/>
      <c r="I17" s="50" t="inlineStr">
        <is>
          <t>원피스 카드게임 공식 이벤트 개최 이력이 확인되는 지역 TCG 매장으로 카드 판매와 대회·교류 중심의 플레이 공간입니다.</t>
        </is>
      </c>
      <c r="J17" s="50" t="inlineStr">
        <is>
          <t>https://www.google.com/maps/search/?api=1&amp;query=XOXO%EA%B5%BF%EC%A6%88%EC%83%B5%20%EC%84%9C%EC%9A%B8%20%EB%A7%88%ED%8F%AC%EA%B5%AC%20%EB%8F%85%EB%A7%89%EB%A1%9C15%EA%B8%B8%2024%2C%20%EC%A7%80%ED%95%98%201%EC%B8%B5</t>
        </is>
      </c>
      <c r="K17" s="51" t="inlineStr">
        <is>
          <t>2026-09-11</t>
        </is>
      </c>
      <c r="L17" s="178" t="inlineStr">
        <is>
          <t>@xoxo_xoplay</t>
        </is>
      </c>
      <c r="M17" s="180" t="inlineStr">
        <is>
          <t>https://www.instagram.com/xoxo_xoplay/</t>
        </is>
      </c>
      <c r="N17" s="180" t="inlineStr">
        <is>
          <t>https://ldb-phinf.pstatic.net/20220720_167/16583277440531HgNx_PNG/xoplay_logo.png</t>
        </is>
      </c>
      <c r="O17" s="178" t="inlineStr">
        <is>
          <t>네이버 플레이스</t>
        </is>
      </c>
      <c r="P17" s="180" t="inlineStr">
        <is>
          <t>https://scontent-icn2-1.cdninstagram.com/v/t51.82787-19/778735642_17904243465521557_1800504382826832970_n.jpg?stp=dst-jpg_s150x150_tt6&amp;_nc_cat=105&amp;ccb=7-5&amp;_nc_sid=f7ccc5&amp;efg=eyJ2ZW5jb2RlX3RhZyI6InByb2ZpbGVfcGljLnd3dy4xMDgwLkMzIn0%3D&amp;_nc_ohc=du4rUfXz6d4Q7kNvwGdHkA3&amp;_nc_oc=AdpJh8v5-FNwQVFT2WZYelsKBxGR7TC-pti-0okOWzjIUtqaKg7w5N2kY-v8TZvq1eQ&amp;_nc_zt=24&amp;_nc_ht=scontent-icn2-1.cdninstagram.com&amp;_nc_gid=jbkidc5UchhtJhCto8Ai5A&amp;_nc_ss=7fa02&amp;oh=00_AQJ1XcUyaCFExJsAabEt1iSpHyWeMeze3DCLcOqnI35FQQ&amp;oe=6AA9F085</t>
        </is>
      </c>
      <c r="Q17" s="178" t="inlineStr">
        <is>
          <t>@xoxo_xoplay</t>
        </is>
      </c>
      <c r="R17" s="180" t="inlineStr">
        <is>
          <t>https://m.place.naver.com/place/1471437209/home</t>
        </is>
      </c>
      <c r="S17" s="179" t="inlineStr">
        <is>
          <t>주소 완전 일치 확인</t>
        </is>
      </c>
    </row>
    <row r="18" ht="48" customHeight="1">
      <c r="A18" s="94" t="inlineStr">
        <is>
          <t>서울특별시</t>
        </is>
      </c>
      <c r="B18" s="95" t="inlineStr">
        <is>
          <t>03</t>
        </is>
      </c>
      <c r="C18" s="95" t="inlineStr">
        <is>
          <t>홍대·신촌</t>
        </is>
      </c>
      <c r="D18" s="95" t="n">
        <v>6</v>
      </c>
      <c r="E18" s="50" t="inlineStr">
        <is>
          <t>롤링다이스</t>
        </is>
      </c>
      <c r="F18" s="50" t="inlineStr">
        <is>
          <t>02-323-7455</t>
        </is>
      </c>
      <c r="G18" s="50" t="inlineStr">
        <is>
          <t>서울 마포구 동교로 193, 동진빌딩</t>
        </is>
      </c>
      <c r="H18" s="50" t="str"/>
      <c r="I18" s="50" t="inlineStr">
        <is>
          <t>홍대의 대표적인 MTG 중심 카드샵으로 매직: 더 개더링 상품 판매와 플레이·이벤트 운영이 활발한 매장입니다.</t>
        </is>
      </c>
      <c r="J18" s="50" t="inlineStr">
        <is>
          <t>https://www.google.com/maps/search/?api=1&amp;query=%EB%A1%A4%EB%A7%81%EB%8B%A4%EC%9D%B4%EC%8A%A4%20%EC%84%9C%EC%9A%B8%20%EB%A7%88%ED%8F%AC%EA%B5%AC%20%EB%8F%99%EA%B5%90%EB%A1%9C%20193%2C%20%EB%8F%99%EC%A7%84%EB%B9%8C%EB%94%A9</t>
        </is>
      </c>
      <c r="K18" s="51" t="inlineStr">
        <is>
          <t>2026-09-11</t>
        </is>
      </c>
      <c r="L18" s="178" t="inlineStr">
        <is>
          <t>@mtgrollingdice</t>
        </is>
      </c>
      <c r="M18" s="180" t="inlineStr">
        <is>
          <t>https://www.instagram.com/mtgrollingdice/</t>
        </is>
      </c>
      <c r="N18" s="180" t="inlineStr">
        <is>
          <t>https://ldb-phinf.pstatic.net/20151126_83/1448517404293xdcuJ_PNG/167070543275546_0.png</t>
        </is>
      </c>
      <c r="O18" s="178" t="inlineStr">
        <is>
          <t>네이버 플레이스</t>
        </is>
      </c>
      <c r="P18" s="180" t="inlineStr">
        <is>
          <t>https://scontent-icn2-1.cdninstagram.com/v/t51.2885-19/342068789_735204201664599_9186102054384498114_n.jpg?stp=dst-jpg_s150x150_tt6&amp;_nc_cat=103&amp;ccb=7-5&amp;_nc_sid=f7ccc5&amp;efg=eyJ2ZW5jb2RlX3RhZyI6InByb2ZpbGVfcGljLnd3dy42ODkuQzMifQ%3D%3D&amp;_nc_ohc=jL0IebT4420Q7kNvwEO_nxH&amp;_nc_oc=Adq6VlqtnOzewoFniXkzQKAIC0_DJ-CpmmZgEc4B32IIGT4Lw9fGdCz2F2_F6g7v5_U&amp;_nc_zt=24&amp;_nc_ht=scontent-icn2-1.cdninstagram.com&amp;_nc_ss=7fa02&amp;oh=00_AQIjMhKXnl1vtonGPO8BW1dYHPVRfKUdMQGwp-pIaEEf-A&amp;oe=6AA9A9C8</t>
        </is>
      </c>
      <c r="Q18" s="178" t="n"/>
      <c r="R18" s="180" t="inlineStr">
        <is>
          <t>https://m.place.naver.com/place/37332888/home</t>
        </is>
      </c>
      <c r="S18" s="179" t="inlineStr">
        <is>
          <t>name match 롤링다이스=Rolling Dice, TCG store</t>
        </is>
      </c>
    </row>
    <row r="19" ht="48" customHeight="1">
      <c r="A19" s="94" t="inlineStr">
        <is>
          <t>서울특별시</t>
        </is>
      </c>
      <c r="B19" s="95" t="inlineStr">
        <is>
          <t>03</t>
        </is>
      </c>
      <c r="C19" s="95" t="inlineStr">
        <is>
          <t>홍대·신촌</t>
        </is>
      </c>
      <c r="D19" s="95" t="n">
        <v>7</v>
      </c>
      <c r="E19" s="50" t="inlineStr">
        <is>
          <t>리얼카드샵</t>
        </is>
      </c>
      <c r="F19" s="50" t="inlineStr">
        <is>
          <t>공개 대표번호 미확인</t>
        </is>
      </c>
      <c r="G19" s="50" t="inlineStr">
        <is>
          <t>서울 서대문구 연세로9길 17, 지하 1층</t>
        </is>
      </c>
      <c r="H19" s="50" t="str"/>
      <c r="I19" s="50" t="inlineStr">
        <is>
          <t>신촌·연세로 일대의 TCG 매장으로 배틀라이브 기반 카드게임 대회 개최 이력이 확인되는 플레이형 카드샵.</t>
        </is>
      </c>
      <c r="J19" s="50" t="inlineStr">
        <is>
          <t>https://www.google.com/maps/search/?api=1&amp;query=%EB%A6%AC%EC%96%BC%EC%B9%B4%EB%93%9C%EC%83%B5%20%EC%84%9C%EC%9A%B8%20%EC%84%9C%EB%8C%80%EB%AC%B8%EA%B5%AC%20%EC%97%B0%EC%84%B8%EB%A1%9C9%EA%B8%B8%2017%2C%20%EC%A7%80%ED%95%98%201%EC%B8%B5</t>
        </is>
      </c>
      <c r="K19" s="51" t="inlineStr">
        <is>
          <t>2026-09-11</t>
        </is>
      </c>
      <c r="L19" s="178" t="inlineStr">
        <is>
          <t>@realcardshop</t>
        </is>
      </c>
      <c r="M19" s="180" t="inlineStr">
        <is>
          <t>https://www.instagram.com/realcardshop/</t>
        </is>
      </c>
      <c r="N19" s="180" t="inlineStr">
        <is>
          <t>https://scontent-icn2-1.cdninstagram.com/v/t51.82787-19/778244628_18087530246279894_643768670558763707_n.jpg?stp=dst-jpg_s150x150_tt6&amp;_nc_cat=105&amp;ccb=7-5&amp;_nc_sid=f7ccc5&amp;efg=eyJ2ZW5jb2RlX3RhZyI6InByb2ZpbGVfcGljLnd3dy4xMDgwLkMzIn0%3D&amp;_nc_ohc=R60b8iu9W_YQ7kNvwEZOKcm&amp;_nc_oc=AdrQ_gdpHaR2vuVQFXywxfM-_pMBpQMhOChP3e-5BHLNfpIGoQ45rJRV8ltkP5LqV-g&amp;_nc_zt=24&amp;_nc_ht=scontent-icn2-1.cdninstagram.com&amp;_nc_gid=vksAwUCqNPmzclqZ7gXViw&amp;_nc_ss=7fa02&amp;oh=00_AQItvIJnFD2iIJg0DMEJ79f_8TxI-KzdLuke69SHBVSyBg&amp;oe=6AA9ABC8</t>
        </is>
      </c>
      <c r="O19" s="178" t="inlineStr">
        <is>
          <t>인스타 프로필(단기 만료)</t>
        </is>
      </c>
      <c r="P19" s="178" t="n"/>
      <c r="Q19" s="178" t="n"/>
      <c r="R19" s="180" t="inlineStr">
        <is>
          <t>https://m.place.naver.com/place/2044356309/home</t>
        </is>
      </c>
      <c r="S19" s="179" t="inlineStr">
        <is>
          <t>ig_high, exact address match</t>
        </is>
      </c>
    </row>
    <row r="20" ht="48" customHeight="1">
      <c r="A20" s="94" t="inlineStr">
        <is>
          <t>서울특별시</t>
        </is>
      </c>
      <c r="B20" s="95" t="inlineStr">
        <is>
          <t>03</t>
        </is>
      </c>
      <c r="C20" s="95" t="inlineStr">
        <is>
          <t>홍대·신촌</t>
        </is>
      </c>
      <c r="D20" s="95" t="n">
        <v>8</v>
      </c>
      <c r="E20" s="50" t="inlineStr">
        <is>
          <t>카드킹덤</t>
        </is>
      </c>
      <c r="F20" s="50" t="inlineStr">
        <is>
          <t>02-365-6279</t>
        </is>
      </c>
      <c r="G20" s="50" t="inlineStr">
        <is>
          <t>서울 마포구 신촌로 254</t>
        </is>
      </c>
      <c r="H20" s="50" t="str"/>
      <c r="I20" s="50" t="inlineStr">
        <is>
          <t>원피스 카드게임 공식 이벤트 개최 이력이 확인되는 지역 TCG 매장으로 카드 판매와 대회·교류 중심의 플레이 공간입니다.</t>
        </is>
      </c>
      <c r="J20" s="50" t="inlineStr">
        <is>
          <t>https://www.google.com/maps/search/?api=1&amp;query=%EC%B9%B4%EB%93%9C%ED%82%B9%EB%8D%A4%20%EC%84%9C%EC%9A%B8%20%EB%A7%88%ED%8F%AC%EA%B5%AC%20%EC%8B%A0%EC%B4%8C%EB%A1%9C%20254</t>
        </is>
      </c>
      <c r="K20" s="51" t="inlineStr">
        <is>
          <t>2026-09-11</t>
        </is>
      </c>
      <c r="L20" s="178" t="inlineStr">
        <is>
          <t>@cardkingdom_kr</t>
        </is>
      </c>
      <c r="M20" s="180" t="inlineStr">
        <is>
          <t>https://www.instagram.com/cardkingdom_kr/</t>
        </is>
      </c>
      <c r="N20" s="180" t="inlineStr">
        <is>
          <t>https://scontent-icn2-1.cdninstagram.com/v/t51.82787-19/589544242_17843494803628137_7329946051142594385_n.jpg?stp=dst-jpg_s150x150_tt6&amp;_nc_cat=111&amp;ccb=7-5&amp;_nc_sid=f7ccc5&amp;efg=eyJ2ZW5jb2RlX3RhZyI6InByb2ZpbGVfcGljLnd3dy4zMTMuQzMifQ%3D%3D&amp;_nc_ohc=67COV5FVGE8Q7kNvwExzNO0&amp;_nc_oc=AdpVSqlHw0jvPwSMFQ4Y2DJ1nZ2B8dSt6aSc3ioT6JI2HbLQ3OmGrPP2NM8JiPY90kM&amp;_nc_zt=24&amp;_nc_ht=scontent-icn2-1.cdninstagram.com&amp;_nc_gid=sJYgjGmEY31qQ4OBQQyjhw&amp;_nc_ss=7fa02&amp;oh=00_AQKnbTzuMuzSSx9vEhv0AXWD_IT8ltejz5EZ80V5cpzqtQ&amp;oe=6AA9828D</t>
        </is>
      </c>
      <c r="O20" s="178" t="inlineStr">
        <is>
          <t>인스타 프로필(단기 만료)</t>
        </is>
      </c>
      <c r="P20" s="178" t="n"/>
      <c r="Q20" s="178" t="n"/>
      <c r="R20" s="180" t="inlineStr">
        <is>
          <t>https://m.place.naver.com/place/438636103/home</t>
        </is>
      </c>
      <c r="S20" s="179" t="inlineStr">
        <is>
          <t>brand account, name=카드킹덤(Card Kingdom), Pokemon TCG Korea context</t>
        </is>
      </c>
    </row>
    <row r="21" ht="48" customHeight="1">
      <c r="A21" s="94" t="inlineStr">
        <is>
          <t>서울특별시</t>
        </is>
      </c>
      <c r="B21" s="95" t="inlineStr">
        <is>
          <t>04</t>
        </is>
      </c>
      <c r="C21" s="95" t="inlineStr">
        <is>
          <t>목동·양천</t>
        </is>
      </c>
      <c r="D21" s="95" t="n">
        <v>1</v>
      </c>
      <c r="E21" s="50" t="inlineStr">
        <is>
          <t>기어타운</t>
        </is>
      </c>
      <c r="F21" s="50" t="inlineStr">
        <is>
          <t>010-8887-6284</t>
        </is>
      </c>
      <c r="G21" s="50" t="inlineStr">
        <is>
          <t>서울 양천구 공항대로 570, 지센건물 3층</t>
        </is>
      </c>
      <c r="H21" s="50" t="str"/>
      <c r="I21" s="50" t="inlineStr">
        <is>
          <t>원피스 카드게임 공식 이벤트 개최 이력이 확인되는 지역 TCG 매장으로 카드 판매와 대회·교류 중심의 플레이 공간입니다.</t>
        </is>
      </c>
      <c r="J21" s="50" t="inlineStr">
        <is>
          <t>https://www.google.com/maps/search/?api=1&amp;query=%EA%B8%B0%EC%96%B4%ED%83%80%EC%9A%B4%20%EC%84%9C%EC%9A%B8%20%EC%96%91%EC%B2%9C%EA%B5%AC%20%EA%B3%B5%ED%95%AD%EB%8C%80%EB%A1%9C%20570%2C%20%EC%A7%80%EC%84%BC%EA%B1%B4%EB%AC%BC%203%EC%B8%B5</t>
        </is>
      </c>
      <c r="K21" s="51" t="inlineStr">
        <is>
          <t>2026-09-11</t>
        </is>
      </c>
      <c r="L21" s="178" t="inlineStr">
        <is>
          <t>@geartown_kr</t>
        </is>
      </c>
      <c r="M21" s="180" t="inlineStr">
        <is>
          <t>https://www.instagram.com/geartown_kr/</t>
        </is>
      </c>
      <c r="N21" s="180" t="inlineStr">
        <is>
          <t>https://ldb-phinf.pstatic.net/20240403_44/1712122052483HxptB_JPEG/geartownv_Mini.jpg</t>
        </is>
      </c>
      <c r="O21" s="178" t="inlineStr">
        <is>
          <t>네이버 플레이스</t>
        </is>
      </c>
      <c r="P21" s="180" t="inlineStr">
        <is>
          <t>https://scontent-icn2-1.cdninstagram.com/v/t51.82787-19/673064020_17859741531652113_3971998025505593520_n.jpg?stp=dst-jpg_s150x150_tt6&amp;_nc_cat=108&amp;ccb=7-5&amp;_nc_sid=f7ccc5&amp;efg=eyJ2ZW5jb2RlX3RhZyI6InByb2ZpbGVfcGljLnd3dy4xMDgwLkMzIn0%3D&amp;_nc_ohc=byNS6kQiA_YQ7kNvwFhX_4B&amp;_nc_oc=Adp6-3cJnZBTISW77beo1hWF1KF3HtTLWjVTh5p3ph7U3cPZ6VlgtN2AUsN9h4gBExc&amp;_nc_zt=24&amp;_nc_ht=scontent-icn2-1.cdninstagram.com&amp;_nc_gid=nl1L8gA_NNDtSGjbSL8opA&amp;_nc_ss=7fa02&amp;oh=00_AQIFnBN00cyKNCBCEYPoAA8YRGCD8BgffgK6_Eo3XEsl3w&amp;oe=6AAA18BE</t>
        </is>
      </c>
      <c r="Q21" s="178" t="n"/>
      <c r="R21" s="180" t="inlineStr">
        <is>
          <t>https://m.place.naver.com/place/1303665532/home</t>
        </is>
      </c>
      <c r="S21" s="179" t="inlineStr">
        <is>
          <t>상호명 정확 일치 + TCG전문점 소개</t>
        </is>
      </c>
    </row>
    <row r="22" ht="48" customHeight="1">
      <c r="A22" s="94" t="inlineStr">
        <is>
          <t>서울특별시</t>
        </is>
      </c>
      <c r="B22" s="95" t="inlineStr">
        <is>
          <t>04</t>
        </is>
      </c>
      <c r="C22" s="95" t="inlineStr">
        <is>
          <t>목동·양천</t>
        </is>
      </c>
      <c r="D22" s="95" t="n">
        <v>2</v>
      </c>
      <c r="E22" s="50" t="inlineStr">
        <is>
          <t>목동 듀얼파크</t>
        </is>
      </c>
      <c r="F22" s="50" t="inlineStr">
        <is>
          <t>02-2602-6279</t>
        </is>
      </c>
      <c r="G22" s="50" t="inlineStr">
        <is>
          <t>서울 양천구 신정중앙로 94, 목마빌딩 지하</t>
        </is>
      </c>
      <c r="H22" s="50" t="str"/>
      <c r="I22" s="50" t="inlineStr">
        <is>
          <t>원피스 카드게임 공식 이벤트 개최 이력이 확인되는 지역 TCG 매장으로 카드 판매와 대회·교류 중심의 플레이 공간입니다.</t>
        </is>
      </c>
      <c r="J22" s="50" t="inlineStr">
        <is>
          <t>https://www.google.com/maps/search/?api=1&amp;query=%EB%AA%A9%EB%8F%99%20%EB%93%80%EC%96%BC%ED%8C%8C%ED%81%AC%20%EC%84%9C%EC%9A%B8%20%EC%96%91%EC%B2%9C%EA%B5%AC%20%EC%8B%A0%EC%A0%95%EC%A4%91%EC%95%99%EB%A1%9C%2094%2C%20%EB%AA%A9%EB%A7%88%EB%B9%8C%EB%94%A9%20%EC%A7%80%ED%95%98</t>
        </is>
      </c>
      <c r="K22" s="51" t="inlineStr">
        <is>
          <t>2026-09-11</t>
        </is>
      </c>
      <c r="L22" s="178" t="inlineStr">
        <is>
          <t>없음</t>
        </is>
      </c>
      <c r="M22" s="178" t="n"/>
      <c r="N22" s="180" t="inlineStr">
        <is>
          <t>https://ldb-phinf.pstatic.net/20151125_69/1448424172589nittN_PNG/167069575050470_0.png</t>
        </is>
      </c>
      <c r="O22" s="178" t="inlineStr">
        <is>
          <t>네이버 플레이스</t>
        </is>
      </c>
      <c r="P22" s="178" t="n"/>
      <c r="Q22" s="178" t="n"/>
      <c r="R22" s="180" t="inlineStr">
        <is>
          <t>https://m.place.naver.com/place/37326709/home</t>
        </is>
      </c>
      <c r="S22" s="179" t="inlineStr">
        <is>
          <t>기각: furry_friends_petpark:unrelated (pet park), skipped without fetch, kidsrun_mokdong:unrelated (kids running program), ski</t>
        </is>
      </c>
    </row>
    <row r="23" ht="48" customHeight="1">
      <c r="A23" s="94" t="inlineStr">
        <is>
          <t>서울특별시</t>
        </is>
      </c>
      <c r="B23" s="95" t="inlineStr">
        <is>
          <t>04</t>
        </is>
      </c>
      <c r="C23" s="95" t="inlineStr">
        <is>
          <t>목동·양천</t>
        </is>
      </c>
      <c r="D23" s="95" t="n">
        <v>3</v>
      </c>
      <c r="E23" s="50" t="inlineStr">
        <is>
          <t>카드 챔프 목동</t>
        </is>
      </c>
      <c r="F23" s="50" t="inlineStr">
        <is>
          <t>070-4140-8211</t>
        </is>
      </c>
      <c r="G23" s="50" t="inlineStr">
        <is>
          <t>서울 양천구 오목로 194, 정우빌딩 2층</t>
        </is>
      </c>
      <c r="H23" s="50" t="str"/>
      <c r="I23" s="50" t="inlineStr">
        <is>
          <t>포켓몬코리아 공식 카드샵·이벤트 정보에서 확인되는 매장으로 포켓몬 TCG 상품과 토너먼트·플레이 이용이 가능한 곳입니다.</t>
        </is>
      </c>
      <c r="J23" s="50" t="inlineStr">
        <is>
          <t>https://www.google.com/maps/search/?api=1&amp;query=%EC%B9%B4%EB%93%9C%20%EC%B1%94%ED%94%84%20%EB%AA%A9%EB%8F%99%20%EC%84%9C%EC%9A%B8%20%EC%96%91%EC%B2%9C%EA%B5%AC%20%EC%98%A4%EB%AA%A9%EB%A1%9C%20194%2C%20%EC%A0%95%EC%9A%B0%EB%B9%8C%EB%94%A9%202%EC%B8%B5</t>
        </is>
      </c>
      <c r="K23" s="51" t="inlineStr">
        <is>
          <t>2026-09-11</t>
        </is>
      </c>
      <c r="L23" s="178" t="inlineStr">
        <is>
          <t>@pokemoncardchamp</t>
        </is>
      </c>
      <c r="M23" s="180" t="inlineStr">
        <is>
          <t>https://www.instagram.com/pokemoncardchamp/</t>
        </is>
      </c>
      <c r="N23" s="180" t="inlineStr">
        <is>
          <t>https://scontent-icn2-1.cdninstagram.com/v/t51.82787-19/723172665_18132765739513807_5341913922908967324_n.jpg?stp=dst-jpg_s150x150_tt6&amp;_nc_cat=105&amp;ccb=7-5&amp;_nc_sid=f7ccc5&amp;efg=eyJ2ZW5jb2RlX3RhZyI6InByb2ZpbGVfcGljLnd3dy4xMDgwLkMzIn0%3D&amp;_nc_ohc=TJCRxPe_X4IQ7kNvwG9e_ZN&amp;_nc_oc=Adomq0rXoKHewnjZFAWhxBs2pmVnBu0rhNnJRcsJ_AlUL7EbqaSDW8jRanOkNotPMnI&amp;_nc_zt=24&amp;_nc_ht=scontent-icn2-1.cdninstagram.com&amp;_nc_gid=H8gtXid6Z3XXkX8pcvxpiw&amp;_nc_ss=7fa02&amp;oh=00_AQJ5K-OzrArzbE1_XRJUUhXafcKDXEeL-7ROq9G1TEb3DQ&amp;oe=6AA99FAF</t>
        </is>
      </c>
      <c r="O23" s="178" t="inlineStr">
        <is>
          <t>인스타 프로필(단기 만료)</t>
        </is>
      </c>
      <c r="P23" s="178" t="n"/>
      <c r="Q23" s="178" t="n"/>
      <c r="R23" s="178" t="n"/>
      <c r="S23" s="179" t="inlineStr">
        <is>
          <t>exact name+address match / 네이버 플레이스 미매칭</t>
        </is>
      </c>
    </row>
    <row r="24" ht="48" customHeight="1">
      <c r="A24" s="94" t="inlineStr">
        <is>
          <t>서울특별시</t>
        </is>
      </c>
      <c r="B24" s="95" t="inlineStr">
        <is>
          <t>05</t>
        </is>
      </c>
      <c r="C24" s="95" t="inlineStr">
        <is>
          <t>관악·신림</t>
        </is>
      </c>
      <c r="D24" s="95" t="n">
        <v>1</v>
      </c>
      <c r="E24" s="50" t="inlineStr">
        <is>
          <t>데쿠데쿠 봉천</t>
        </is>
      </c>
      <c r="F24" s="50" t="inlineStr">
        <is>
          <t>010-5703-9837</t>
        </is>
      </c>
      <c r="G24" s="50" t="inlineStr">
        <is>
          <t>서울 관악구 봉천로31길 9, 지하 1층</t>
        </is>
      </c>
      <c r="H24" s="50" t="str"/>
      <c r="I24" s="50" t="inlineStr">
        <is>
          <t>원피스 카드게임 공식 이벤트 개최 이력이 확인되는 지역 TCG 매장으로 카드 판매와 대회·교류 중심의 플레이 공간입니다.</t>
        </is>
      </c>
      <c r="J24" s="50" t="inlineStr">
        <is>
          <t>https://www.google.com/maps/search/?api=1&amp;query=%EB%8D%B0%EC%BF%A0%EB%8D%B0%EC%BF%A0%20%EB%B4%89%EC%B2%9C%20%EC%84%9C%EC%9A%B8%20%EA%B4%80%EC%95%85%EA%B5%AC%20%EB%B4%89%EC%B2%9C%EB%A1%9C31%EA%B8%B8%209%2C%20%EC%A7%80%ED%95%98%201%EC%B8%B5</t>
        </is>
      </c>
      <c r="K24" s="51" t="inlineStr">
        <is>
          <t>2026-09-11</t>
        </is>
      </c>
      <c r="L24" s="178" t="inlineStr">
        <is>
          <t>없음</t>
        </is>
      </c>
      <c r="M24" s="178" t="n"/>
      <c r="N24" s="178" t="n"/>
      <c r="O24" s="178" t="n"/>
      <c r="P24" s="178" t="n"/>
      <c r="Q24" s="178" t="n"/>
      <c r="R24" s="178" t="n"/>
      <c r="S24" s="179" t="inlineStr">
        <is>
          <t>네이버 플레이스 미매칭 / 기각: pick_get_chu:different shop '포켓몬카드샵 픽겟츄' at 봉천로285 (shop addr is 봉천로31길 9) — same district but different name/address, l</t>
        </is>
      </c>
    </row>
    <row r="25" ht="48" customHeight="1">
      <c r="A25" s="94" t="inlineStr">
        <is>
          <t>서울특별시</t>
        </is>
      </c>
      <c r="B25" s="95" t="inlineStr">
        <is>
          <t>05</t>
        </is>
      </c>
      <c r="C25" s="95" t="inlineStr">
        <is>
          <t>관악·신림</t>
        </is>
      </c>
      <c r="D25" s="95" t="n">
        <v>2</v>
      </c>
      <c r="E25" s="50" t="inlineStr">
        <is>
          <t>어바웃티씨지</t>
        </is>
      </c>
      <c r="F25" s="50" t="inlineStr">
        <is>
          <t>02-6958-6567</t>
        </is>
      </c>
      <c r="G25" s="50" t="inlineStr">
        <is>
          <t>서울 관악구 조원로 16 로얄빌딩 2층</t>
        </is>
      </c>
      <c r="H25" s="50" t="str"/>
      <c r="I25" s="50" t="inlineStr">
        <is>
          <t>매직: 더 개더링 등 해외 TCG 밀봉 상품과 싱글을 취급하며 매입·플레이 안내를 운영하는 관악구 TCG 전문점.</t>
        </is>
      </c>
      <c r="J25" s="50" t="inlineStr">
        <is>
          <t>https://www.google.com/maps/search/?api=1&amp;query=%EC%96%B4%EB%B0%94%EC%9B%83%ED%8B%B0%EC%94%A8%EC%A7%80%20%EC%84%9C%EC%9A%B8%20%EA%B4%80%EC%95%85%EA%B5%AC%20%EC%A1%B0%EC%9B%90%EB%A1%9C%2016%20%EB%A1%9C%EC%96%84%EB%B9%8C%EB%94%A9%202%EC%B8%B5</t>
        </is>
      </c>
      <c r="K25" s="51" t="inlineStr">
        <is>
          <t>2026-09-11</t>
        </is>
      </c>
      <c r="L25" s="178" t="inlineStr">
        <is>
          <t>없음</t>
        </is>
      </c>
      <c r="M25" s="178" t="n"/>
      <c r="N25" s="180" t="inlineStr">
        <is>
          <t>https://ldb-phinf.pstatic.net/20201104_84/16044688896053VXQt_JPEG/%B8%C5%C0%E5%BB%E7%C1%F8.jpg</t>
        </is>
      </c>
      <c r="O25" s="178" t="inlineStr">
        <is>
          <t>네이버 플레이스</t>
        </is>
      </c>
      <c r="P25" s="178" t="n"/>
      <c r="Q25" s="178" t="n"/>
      <c r="R25" s="180" t="inlineStr">
        <is>
          <t>https://m.place.naver.com/place/32514532/home</t>
        </is>
      </c>
      <c r="S25" s="179" t="inlineStr">
        <is>
          <t>기각: unova_tcg:display name/bio show unrelated global TCG reseller (eBay daily, no 관악/신림 connection)</t>
        </is>
      </c>
    </row>
    <row r="26" ht="48" customHeight="1">
      <c r="A26" s="94" t="inlineStr">
        <is>
          <t>서울특별시</t>
        </is>
      </c>
      <c r="B26" s="95" t="inlineStr">
        <is>
          <t>05</t>
        </is>
      </c>
      <c r="C26" s="95" t="inlineStr">
        <is>
          <t>관악·신림</t>
        </is>
      </c>
      <c r="D26" s="95" t="n">
        <v>3</v>
      </c>
      <c r="E26" s="50" t="inlineStr">
        <is>
          <t>카드숲</t>
        </is>
      </c>
      <c r="F26" s="50" t="inlineStr">
        <is>
          <t>070-8656-0836</t>
        </is>
      </c>
      <c r="G26" s="50" t="inlineStr">
        <is>
          <t>서울 관악구 조원중앙로 13, 3층</t>
        </is>
      </c>
      <c r="H26" s="50" t="str"/>
      <c r="I26" s="50" t="inlineStr">
        <is>
          <t>원피스 카드게임 공식 이벤트 개최 이력이 확인되는 지역 TCG 매장으로 카드 판매와 대회·교류 중심의 플레이 공간입니다.</t>
        </is>
      </c>
      <c r="J26" s="50" t="inlineStr">
        <is>
          <t>https://www.google.com/maps/search/?api=1&amp;query=%EC%B9%B4%EB%93%9C%EC%88%B2%20%EC%84%9C%EC%9A%B8%20%EA%B4%80%EC%95%85%EA%B5%AC%20%EC%A1%B0%EC%9B%90%EC%A4%91%EC%95%99%EB%A1%9C%2013%2C%203%EC%B8%B5</t>
        </is>
      </c>
      <c r="K26" s="51" t="inlineStr">
        <is>
          <t>2026-09-11</t>
        </is>
      </c>
      <c r="L26" s="178" t="inlineStr">
        <is>
          <t>없음</t>
        </is>
      </c>
      <c r="M26" s="178" t="n"/>
      <c r="N26" s="180" t="inlineStr">
        <is>
          <t>https://ldb-phinf.pstatic.net/20240616_109/1718542199092o471I_JPEG/%C6%D0%C5%CF.jpg</t>
        </is>
      </c>
      <c r="O26" s="178" t="inlineStr">
        <is>
          <t>네이버 플레이스</t>
        </is>
      </c>
      <c r="P26" s="178" t="n"/>
      <c r="Q26" s="178" t="inlineStr">
        <is>
          <t>@cardforesttcg</t>
        </is>
      </c>
      <c r="R26" s="180" t="inlineStr">
        <is>
          <t>https://m.place.naver.com/place/1138275784/home</t>
        </is>
      </c>
      <c r="S26" s="179" t="inlineStr">
        <is>
          <t>기각: firstcardshop:퍼스트카드샵, 서울 마포구 합정 위치 — 관악구 카드숲과 이름·주소 불일치, gosty_covers:unrelated (phone case brand), skipped by name</t>
        </is>
      </c>
    </row>
    <row r="27" ht="48" customHeight="1">
      <c r="A27" s="94" t="inlineStr">
        <is>
          <t>서울특별시</t>
        </is>
      </c>
      <c r="B27" s="95" t="inlineStr">
        <is>
          <t>06</t>
        </is>
      </c>
      <c r="C27" s="95" t="inlineStr">
        <is>
          <t>사당·이수</t>
        </is>
      </c>
      <c r="D27" s="95" t="n">
        <v>1</v>
      </c>
      <c r="E27" s="50" t="inlineStr">
        <is>
          <t>이수 듀얼파크</t>
        </is>
      </c>
      <c r="F27" s="50" t="inlineStr">
        <is>
          <t>02-535-6212</t>
        </is>
      </c>
      <c r="G27" s="50" t="inlineStr">
        <is>
          <t>서울 동작구 사당동 89-1, 삼정빌딩 지하</t>
        </is>
      </c>
      <c r="H27" s="50" t="str"/>
      <c r="I27" s="50" t="inlineStr">
        <is>
          <t>원피스 카드게임 공식 이벤트 개최 이력이 확인되는 지역 TCG 매장으로 카드 판매와 대회·교류 중심의 플레이 공간입니다.</t>
        </is>
      </c>
      <c r="J27" s="50" t="inlineStr">
        <is>
          <t>https://www.google.com/maps/search/?api=1&amp;query=%EC%9D%B4%EC%88%98%20%EB%93%80%EC%96%BC%ED%8C%8C%ED%81%AC%20%EC%84%9C%EC%9A%B8%20%EB%8F%99%EC%9E%91%EA%B5%AC%20%EC%82%AC%EB%8B%B9%EB%8F%99%2089-1%2C%20%EC%82%BC%EC%A0%95%EB%B9%8C%EB%94%A9%20%EC%A7%80%ED%95%98</t>
        </is>
      </c>
      <c r="K27" s="51" t="inlineStr">
        <is>
          <t>2026-09-11</t>
        </is>
      </c>
      <c r="L27" s="178" t="inlineStr">
        <is>
          <t>없음</t>
        </is>
      </c>
      <c r="M27" s="178" t="n"/>
      <c r="N27" s="180" t="inlineStr">
        <is>
          <t>https://ldb-phinf.pstatic.net/20200405_273/1586064314591WLAru_JPEG/ygADkfKf5f3Du10DoaN71dCh.jpeg.jpg</t>
        </is>
      </c>
      <c r="O27" s="178" t="inlineStr">
        <is>
          <t>네이버 플레이스</t>
        </is>
      </c>
      <c r="P27" s="178" t="n"/>
      <c r="Q27" s="178" t="n"/>
      <c r="R27" s="180" t="inlineStr">
        <is>
          <t>https://m.place.naver.com/place/32699825/home</t>
        </is>
      </c>
      <c r="S27" s="179" t="n"/>
    </row>
    <row r="28" ht="48" customHeight="1">
      <c r="A28" s="94" t="inlineStr">
        <is>
          <t>서울특별시</t>
        </is>
      </c>
      <c r="B28" s="95" t="inlineStr">
        <is>
          <t>06</t>
        </is>
      </c>
      <c r="C28" s="95" t="inlineStr">
        <is>
          <t>사당·이수</t>
        </is>
      </c>
      <c r="D28" s="95" t="n">
        <v>2</v>
      </c>
      <c r="E28" s="50" t="inlineStr">
        <is>
          <t>카드랩 CARD LAB 사당</t>
        </is>
      </c>
      <c r="F28" s="50" t="inlineStr">
        <is>
          <t>0507-1301-2379</t>
        </is>
      </c>
      <c r="G28" s="50" t="inlineStr">
        <is>
          <t>서울 동작구 동작대로1길 27, 5층</t>
        </is>
      </c>
      <c r="H28" s="50" t="inlineStr">
        <is>
          <t>평일 13:00~22:00 / 주말 11:00~22:00 (공개 게시 기준)</t>
        </is>
      </c>
      <c r="I28" s="50" t="inlineStr">
        <is>
          <t>사당역권에서 확인되는 트레이딩 카드 전문점. 카드게임 상품 구매와 플레이 수요를 함께 커버하는 지역형 TCG 매장입니다.</t>
        </is>
      </c>
      <c r="J28" s="50" t="inlineStr">
        <is>
          <t>https://gall.dcinside.com/mgallery/board/view/?id=onepiececardgame&amp;no=20926</t>
        </is>
      </c>
      <c r="K28" s="51" t="inlineStr">
        <is>
          <t>2026-09-11</t>
        </is>
      </c>
      <c r="L28" s="178" t="inlineStr">
        <is>
          <t>@cardlabtcg</t>
        </is>
      </c>
      <c r="M28" s="180" t="inlineStr">
        <is>
          <t>https://www.instagram.com/cardlabtcg/</t>
        </is>
      </c>
      <c r="N28" s="180" t="inlineStr">
        <is>
          <t>https://scontent-icn2-1.cdninstagram.com/v/t51.82787-19/524909970_18390990709132929_86695267752699505_n.jpg?stp=dst-jpg_s150x150_tt6&amp;_nc_cat=106&amp;ccb=7-5&amp;_nc_sid=f7ccc5&amp;efg=eyJ2ZW5jb2RlX3RhZyI6InByb2ZpbGVfcGljLnd3dy4xMDgwLkMzIn0%3D&amp;_nc_ohc=R8j_2P8dB_cQ7kNvwF5QqwZ&amp;_nc_oc=Adq1ysYstQjw_IhyPwcBFDdFtkWK6SsJBb8-h3emcMA0nJc-D4qApaBONiyoMB5kFoI&amp;_nc_zt=24&amp;_nc_ht=scontent-icn2-1.cdninstagram.com&amp;_nc_gid=QGmBZqdyKceLpGyDwXL5ig&amp;_nc_ss=7f60f&amp;oh=00_AQL4gThert7JYndeNFcxV1HmamCxP7yZhiIwjGR_gmIhOg&amp;oe=6AA9ACE7</t>
        </is>
      </c>
      <c r="O28" s="178" t="inlineStr">
        <is>
          <t>인스타 프로필(단기 만료)</t>
        </is>
      </c>
      <c r="P28" s="178" t="n"/>
      <c r="Q28" s="178" t="n"/>
      <c r="R28" s="178" t="n"/>
      <c r="S28" s="179" t="inlineStr">
        <is>
          <t>직접 이름 일치 (Card Lab) / 네이버 플레이스 미매칭</t>
        </is>
      </c>
    </row>
    <row r="29" ht="48" customHeight="1">
      <c r="A29" s="94" t="inlineStr">
        <is>
          <t>서울특별시</t>
        </is>
      </c>
      <c r="B29" s="95" t="inlineStr">
        <is>
          <t>07</t>
        </is>
      </c>
      <c r="C29" s="95" t="inlineStr">
        <is>
          <t>잠실·송파</t>
        </is>
      </c>
      <c r="D29" s="95" t="n">
        <v>1</v>
      </c>
      <c r="E29" s="50" t="inlineStr">
        <is>
          <t>로이쿠지 잠실점</t>
        </is>
      </c>
      <c r="F29" s="50" t="inlineStr">
        <is>
          <t>공개 대표번호 미확인</t>
        </is>
      </c>
      <c r="G29" s="50" t="inlineStr">
        <is>
          <t>서울 송파구 오금로13길 13, 도솔 지하 1층</t>
        </is>
      </c>
      <c r="H29" s="50" t="str"/>
      <c r="I29" s="50" t="inlineStr">
        <is>
          <t>원피스 카드게임 공식 이벤트 개최 이력이 확인되는 지역 TCG 매장으로 카드 판매와 대회·교류 중심의 플레이 공간입니다.</t>
        </is>
      </c>
      <c r="J29" s="50" t="inlineStr">
        <is>
          <t>https://www.google.com/maps/search/?api=1&amp;query=%EB%A1%9C%EC%9D%B4%EC%BF%A0%EC%A7%80%20%EC%9E%A0%EC%8B%A4%EC%A0%90%20%EC%84%9C%EC%9A%B8%20%EC%86%A1%ED%8C%8C%EA%B5%AC%20%EC%98%A4%EA%B8%88%EB%A1%9C13%EA%B8%B8%2013%2C%20%EB%8F%84%EC%86%94%20%EC%A7%80%ED%95%98%201%EC%B8%B5</t>
        </is>
      </c>
      <c r="K29" s="51" t="inlineStr">
        <is>
          <t>2026-09-11</t>
        </is>
      </c>
      <c r="L29" s="178" t="inlineStr">
        <is>
          <t>@roy_shop_pile_island</t>
        </is>
      </c>
      <c r="M29" s="180" t="inlineStr">
        <is>
          <t>https://www.instagram.com/roy_shop_pile_island/</t>
        </is>
      </c>
      <c r="N29" s="180" t="inlineStr">
        <is>
          <t>https://scontent-icn2-1.cdninstagram.com/v/t51.2885-19/488218965_1181210509717523_489801826215021327_n.jpg?stp=dst-jpg_s150x150_tt6&amp;_nc_cat=108&amp;ccb=7-5&amp;_nc_sid=f7ccc5&amp;efg=eyJ2ZW5jb2RlX3RhZyI6InByb2ZpbGVfcGljLnd3dy4xMDgwLkMzIn0%3D&amp;_nc_ohc=FVXypP51KP8Q7kNvwGdmA3W&amp;_nc_oc=Adr0BDHP3kOHo9ypY1E8XL-ANa2SaF3XgovLx9u1jKAW-z7MRtI385ZYoP-ypPEr504&amp;_nc_zt=24&amp;_nc_ht=scontent-icn2-1.cdninstagram.com&amp;_nc_ss=7fa02&amp;oh=00_AQJhNGIPAPOP7B4QJpbOVSL5owsmTmTYhy1kqU0mJRIS-w&amp;oe=6AA98CDE</t>
        </is>
      </c>
      <c r="O29" s="178" t="inlineStr">
        <is>
          <t>인스타 프로필(단기 만료)</t>
        </is>
      </c>
      <c r="P29" s="178" t="n"/>
      <c r="Q29" s="178" t="n"/>
      <c r="R29" s="178" t="n"/>
      <c r="S29" s="179" t="inlineStr">
        <is>
          <t>이름·주소(도솔) 정확 일치 / 네이버 플레이스 미매칭</t>
        </is>
      </c>
    </row>
    <row r="30" ht="48" customHeight="1">
      <c r="A30" s="94" t="inlineStr">
        <is>
          <t>서울특별시</t>
        </is>
      </c>
      <c r="B30" s="95" t="inlineStr">
        <is>
          <t>07</t>
        </is>
      </c>
      <c r="C30" s="95" t="inlineStr">
        <is>
          <t>잠실·송파</t>
        </is>
      </c>
      <c r="D30" s="95" t="n">
        <v>2</v>
      </c>
      <c r="E30" s="50" t="inlineStr">
        <is>
          <t>카드스타</t>
        </is>
      </c>
      <c r="F30" s="50" t="inlineStr">
        <is>
          <t>0507-1383-7514</t>
        </is>
      </c>
      <c r="G30" s="50" t="inlineStr">
        <is>
          <t>서울 송파구 백제고분로9길 25, B1</t>
        </is>
      </c>
      <c r="H30" s="50" t="str"/>
      <c r="I30" s="50" t="inlineStr">
        <is>
          <t>원피스 카드게임 공식 이벤트 개최 이력이 확인되는 지역 TCG 매장으로 카드 판매와 대회·교류 중심의 플레이 공간입니다.</t>
        </is>
      </c>
      <c r="J30" s="50" t="inlineStr">
        <is>
          <t>https://www.google.com/maps/search/?api=1&amp;query=%EC%B9%B4%EB%93%9C%EC%8A%A4%ED%83%80%20%EC%84%9C%EC%9A%B8%20%EC%86%A1%ED%8C%8C%EA%B5%AC%20%EB%B0%B1%EC%A0%9C%EA%B3%A0%EB%B6%84%EB%A1%9C9%EA%B8%B8%2025%2C%20B1</t>
        </is>
      </c>
      <c r="K30" s="51" t="inlineStr">
        <is>
          <t>2026-09-11</t>
        </is>
      </c>
      <c r="L30" s="178" t="inlineStr">
        <is>
          <t>없음</t>
        </is>
      </c>
      <c r="M30" s="178" t="n"/>
      <c r="N30" s="180" t="inlineStr">
        <is>
          <t>https://ldb-phinf.pstatic.net/20260304_120/1772606414692xQSMO_JPEG/7_500.jpg</t>
        </is>
      </c>
      <c r="O30" s="178" t="inlineStr">
        <is>
          <t>네이버 플레이스</t>
        </is>
      </c>
      <c r="P30" s="178" t="n"/>
      <c r="Q30" s="178" t="n"/>
      <c r="R30" s="180" t="inlineStr">
        <is>
          <t>https://m.place.naver.com/place/2003829345/home</t>
        </is>
      </c>
      <c r="S30" s="179" t="inlineStr">
        <is>
          <t>기각: tcgstar:UK-based personal collector account, 🇬🇧, no Korea/송파 connection, cardstar_me:'Card Star' personalised football c</t>
        </is>
      </c>
    </row>
    <row r="31" ht="48" customHeight="1">
      <c r="A31" s="94" t="inlineStr">
        <is>
          <t>서울특별시</t>
        </is>
      </c>
      <c r="B31" s="95" t="inlineStr">
        <is>
          <t>07</t>
        </is>
      </c>
      <c r="C31" s="95" t="inlineStr">
        <is>
          <t>잠실·송파</t>
        </is>
      </c>
      <c r="D31" s="95" t="n">
        <v>3</v>
      </c>
      <c r="E31" s="50" t="inlineStr">
        <is>
          <t>카드피아 (송파 TCG)</t>
        </is>
      </c>
      <c r="F31" s="50" t="inlineStr">
        <is>
          <t>0507-1373-2025</t>
        </is>
      </c>
      <c r="G31" s="50" t="inlineStr">
        <is>
          <t>서울 송파구 송이로 98, 2층</t>
        </is>
      </c>
      <c r="H31" s="50" t="str"/>
      <c r="I31" s="50" t="inlineStr">
        <is>
          <t>송파 지역 TCG 매장으로 공식 카드게임 강습회·매장 이벤트 개최 정보가 확인되는 오프라인 플레이 거점.</t>
        </is>
      </c>
      <c r="J31" s="50" t="inlineStr">
        <is>
          <t>https://www.google.com/maps/search/?api=1&amp;query=%EC%B9%B4%EB%93%9C%ED%94%BC%EC%95%84%20%28%EC%86%A1%ED%8C%8C%20TCG%29%20%EC%84%9C%EC%9A%B8%20%EC%86%A1%ED%8C%8C%EA%B5%AC%20%EC%86%A1%EC%9D%B4%EB%A1%9C%2098%2C%202%EC%B8%B5</t>
        </is>
      </c>
      <c r="K31" s="51" t="inlineStr">
        <is>
          <t>2026-09-11</t>
        </is>
      </c>
      <c r="L31" s="178" t="inlineStr">
        <is>
          <t>@card_pia</t>
        </is>
      </c>
      <c r="M31" s="180" t="inlineStr">
        <is>
          <t>https://www.instagram.com/card_pia/</t>
        </is>
      </c>
      <c r="N31" s="180" t="inlineStr">
        <is>
          <t>https://scontent-icn2-1.cdninstagram.com/v/t51.82787-19/718212605_17890127916513195_3118028038496775436_n.jpg?stp=dst-jpg_s150x150_tt6&amp;_nc_cat=105&amp;ccb=7-5&amp;_nc_sid=f7ccc5&amp;efg=eyJ2ZW5jb2RlX3RhZyI6InByb2ZpbGVfcGljLnd3dy4xMDgwLkMzIn0%3D&amp;_nc_ohc=yIT7cF1efqkQ7kNvwF_xBtq&amp;_nc_oc=Ado803Lq7hzVs7Z86B6pvNJ1L_IoED-EvD70AsPIW2B-TgVLTNTsoQ5GBeuIDe5Bl3I&amp;_nc_zt=24&amp;_nc_ht=scontent-icn2-1.cdninstagram.com&amp;_nc_gid=8ALD03-FD-BCO9eofn7Z_w&amp;_nc_ss=7fa02&amp;oh=00_AQLa7bTDtOff21sIp8lftpPN3136-ZfPBD1ZmUaeKE_Ttw&amp;oe=6AA9AA04</t>
        </is>
      </c>
      <c r="O31" s="178" t="inlineStr">
        <is>
          <t>인스타 프로필(단기 만료)</t>
        </is>
      </c>
      <c r="P31" s="178" t="n"/>
      <c r="Q31" s="178" t="inlineStr">
        <is>
          <t>@Card_Pia</t>
        </is>
      </c>
      <c r="R31" s="180" t="inlineStr">
        <is>
          <t>https://m.place.naver.com/place/35586783/home</t>
        </is>
      </c>
      <c r="S31" s="179" t="inlineStr">
        <is>
          <t>이름 정확 일치 (CardPia)</t>
        </is>
      </c>
    </row>
    <row r="32" ht="48" customHeight="1">
      <c r="A32" s="94" t="inlineStr">
        <is>
          <t>서울특별시</t>
        </is>
      </c>
      <c r="B32" s="95" t="inlineStr">
        <is>
          <t>08</t>
        </is>
      </c>
      <c r="C32" s="95" t="inlineStr">
        <is>
          <t>영등포·당산</t>
        </is>
      </c>
      <c r="D32" s="95" t="n">
        <v>1</v>
      </c>
      <c r="E32" s="50" t="inlineStr">
        <is>
          <t>카드냥 당산</t>
        </is>
      </c>
      <c r="F32" s="50" t="inlineStr">
        <is>
          <t>공개 대표번호 미확인</t>
        </is>
      </c>
      <c r="G32" s="50" t="inlineStr">
        <is>
          <t>서울 영등포구 당산로38길 4, 401호</t>
        </is>
      </c>
      <c r="H32" s="50" t="str"/>
      <c r="I32" s="50" t="inlineStr">
        <is>
          <t>원피스 카드게임 공식 이벤트 개최 이력이 확인되는 지역 TCG 매장으로 카드 판매와 대회·교류 중심의 플레이 공간입니다.</t>
        </is>
      </c>
      <c r="J32" s="50" t="inlineStr">
        <is>
          <t>https://www.google.com/maps/search/?api=1&amp;query=%EC%B9%B4%EB%93%9C%EB%83%A5%20%EB%8B%B9%EC%82%B0%20%EC%84%9C%EC%9A%B8%20%EC%98%81%EB%93%B1%ED%8F%AC%EA%B5%AC%20%EB%8B%B9%EC%82%B0%EB%A1%9C38%EA%B8%B8%204%2C%20401%ED%98%B8</t>
        </is>
      </c>
      <c r="K32" s="51" t="inlineStr">
        <is>
          <t>2026-09-11</t>
        </is>
      </c>
      <c r="L32" s="178" t="inlineStr">
        <is>
          <t>없음</t>
        </is>
      </c>
      <c r="M32" s="178" t="n"/>
      <c r="N32" s="180" t="inlineStr">
        <is>
          <t>https://ldb-phinf.pstatic.net/20240901_23/1725169439673SUBJn_JPEG/Y6NoZM5O_400x400.jpg</t>
        </is>
      </c>
      <c r="O32" s="178" t="inlineStr">
        <is>
          <t>네이버 플레이스</t>
        </is>
      </c>
      <c r="P32" s="178" t="n"/>
      <c r="Q32" s="178" t="inlineStr">
        <is>
          <t>@ds_nyang</t>
        </is>
      </c>
      <c r="R32" s="180" t="inlineStr">
        <is>
          <t>https://m.place.naver.com/place/1989469159/home</t>
        </is>
      </c>
      <c r="S32" s="179" t="n"/>
    </row>
    <row r="33" ht="48" customHeight="1">
      <c r="A33" s="94" t="inlineStr">
        <is>
          <t>서울특별시</t>
        </is>
      </c>
      <c r="B33" s="95" t="inlineStr">
        <is>
          <t>09</t>
        </is>
      </c>
      <c r="C33" s="95" t="inlineStr">
        <is>
          <t>동대문</t>
        </is>
      </c>
      <c r="D33" s="95" t="n">
        <v>1</v>
      </c>
      <c r="E33" s="50" t="inlineStr">
        <is>
          <t>카드킹덤 마린포드</t>
        </is>
      </c>
      <c r="F33" s="50" t="inlineStr">
        <is>
          <t>070-4402-7770</t>
        </is>
      </c>
      <c r="G33" s="50" t="inlineStr">
        <is>
          <t>서울 동대문구 장한로 37, 3층</t>
        </is>
      </c>
      <c r="H33" s="50" t="inlineStr">
        <is>
          <t>평일 12:00~22:00 / 주말 11:00~22:00</t>
        </is>
      </c>
      <c r="I33" s="50" t="inlineStr">
        <is>
          <t>원피스 카드게임 공식 이벤트 개최 이력이 확인되는 지역 TCG 매장으로 카드 판매와 대회·교류 중심의 플레이 공간입니다.</t>
        </is>
      </c>
      <c r="J33" s="50" t="inlineStr">
        <is>
          <t>https://www.marineford.link/shopInfo/</t>
        </is>
      </c>
      <c r="K33" s="51" t="inlineStr">
        <is>
          <t>2026-09-11</t>
        </is>
      </c>
      <c r="L33" s="178" t="inlineStr">
        <is>
          <t>없음</t>
        </is>
      </c>
      <c r="M33" s="178" t="n"/>
      <c r="N33" s="180" t="inlineStr">
        <is>
          <t>https://ldb-phinf.pstatic.net/20240511_281/1715400217678HTqqe_JPEG/JPG_2.jpg</t>
        </is>
      </c>
      <c r="O33" s="178" t="inlineStr">
        <is>
          <t>네이버 플레이스</t>
        </is>
      </c>
      <c r="P33" s="178" t="n"/>
      <c r="Q33" s="178" t="inlineStr">
        <is>
          <t>@Marineford_TCG</t>
        </is>
      </c>
      <c r="R33" s="180" t="inlineStr">
        <is>
          <t>https://m.place.naver.com/place/1867890566/home</t>
        </is>
      </c>
      <c r="S33" s="179" t="n"/>
    </row>
    <row r="34" ht="48" customHeight="1">
      <c r="A34" s="94" t="inlineStr">
        <is>
          <t>서울특별시</t>
        </is>
      </c>
      <c r="B34" s="95" t="inlineStr">
        <is>
          <t>10</t>
        </is>
      </c>
      <c r="C34" s="95" t="inlineStr">
        <is>
          <t>신당·중구</t>
        </is>
      </c>
      <c r="D34" s="95" t="n">
        <v>1</v>
      </c>
      <c r="E34" s="50" t="inlineStr">
        <is>
          <t>신당 카드스퀘어</t>
        </is>
      </c>
      <c r="F34" s="50" t="inlineStr">
        <is>
          <t>02-6015-5689</t>
        </is>
      </c>
      <c r="G34" s="50" t="inlineStr">
        <is>
          <t>서울 중구 다산로40길 51, 지하 1층</t>
        </is>
      </c>
      <c r="H34" s="50" t="str"/>
      <c r="I34" s="50" t="inlineStr">
        <is>
          <t>원피스 카드게임 공식 이벤트 개최 이력이 확인되는 지역 TCG 매장으로 카드 판매와 대회·교류 중심의 플레이 공간입니다.</t>
        </is>
      </c>
      <c r="J34" s="50" t="inlineStr">
        <is>
          <t>https://www.google.com/maps/search/?api=1&amp;query=%EC%8B%A0%EB%8B%B9%20%EC%B9%B4%EB%93%9C%EC%8A%A4%ED%80%98%EC%96%B4%20%EC%84%9C%EC%9A%B8%20%EC%A4%91%EA%B5%AC%20%EB%8B%A4%EC%82%B0%EB%A1%9C40%EA%B8%B8%2051%2C%20%EC%A7%80%ED%95%98%201%EC%B8%B5</t>
        </is>
      </c>
      <c r="K34" s="51" t="inlineStr">
        <is>
          <t>2026-09-11</t>
        </is>
      </c>
      <c r="L34" s="178" t="inlineStr">
        <is>
          <t>없음</t>
        </is>
      </c>
      <c r="M34" s="178" t="n"/>
      <c r="N34" s="180" t="inlineStr">
        <is>
          <t>https://ldb-phinf.pstatic.net/20200930_232/1601424477822Vi4DG_JPEG/-kjWbcJ2RPhf95owh298XEO0.jpg</t>
        </is>
      </c>
      <c r="O34" s="178" t="inlineStr">
        <is>
          <t>네이버 플레이스</t>
        </is>
      </c>
      <c r="P34" s="178" t="n"/>
      <c r="Q34" s="178" t="n"/>
      <c r="R34" s="180" t="inlineStr">
        <is>
          <t>https://m.place.naver.com/place/1221088288/home</t>
        </is>
      </c>
      <c r="S34" s="179" t="inlineStr">
        <is>
          <t>기각: zoosindang:주신당 — 바/이자카야 계정(영업시간·예약 안내), 카드샵과 무관</t>
        </is>
      </c>
    </row>
    <row r="35" ht="48" customHeight="1">
      <c r="A35" s="94" t="inlineStr">
        <is>
          <t>서울특별시</t>
        </is>
      </c>
      <c r="B35" s="95" t="inlineStr">
        <is>
          <t>11</t>
        </is>
      </c>
      <c r="C35" s="95" t="inlineStr">
        <is>
          <t>강북·은평</t>
        </is>
      </c>
      <c r="D35" s="95" t="n">
        <v>1</v>
      </c>
      <c r="E35" s="50" t="inlineStr">
        <is>
          <t>봉플레이스</t>
        </is>
      </c>
      <c r="F35" s="50" t="inlineStr">
        <is>
          <t>공개 대표번호 미확인</t>
        </is>
      </c>
      <c r="G35" s="50" t="inlineStr">
        <is>
          <t>서울 강북구 한천로 1057, 5층</t>
        </is>
      </c>
      <c r="H35" s="50" t="str"/>
      <c r="I35" s="50" t="inlineStr">
        <is>
          <t>원피스 카드게임 공식 이벤트 개최 이력이 확인되는 지역 TCG 매장으로 카드 판매와 대회·교류 중심의 플레이 공간입니다.</t>
        </is>
      </c>
      <c r="J35" s="50" t="inlineStr">
        <is>
          <t>https://www.google.com/maps/search/?api=1&amp;query=%EB%B4%89%ED%94%8C%EB%A0%88%EC%9D%B4%EC%8A%A4%20%EC%84%9C%EC%9A%B8%20%EA%B0%95%EB%B6%81%EA%B5%AC%20%ED%95%9C%EC%B2%9C%EB%A1%9C%201057%2C%205%EC%B8%B5</t>
        </is>
      </c>
      <c r="K35" s="51" t="inlineStr">
        <is>
          <t>2026-09-11</t>
        </is>
      </c>
      <c r="L35" s="178" t="inlineStr">
        <is>
          <t>없음</t>
        </is>
      </c>
      <c r="M35" s="178" t="n"/>
      <c r="N35" s="180" t="inlineStr">
        <is>
          <t>https://ldb-phinf.pstatic.net/20230620_219/168718838020818c45_JPEG/KakaoTalk_20230620_002606995.jpg</t>
        </is>
      </c>
      <c r="O35" s="178" t="inlineStr">
        <is>
          <t>네이버 플레이스</t>
        </is>
      </c>
      <c r="P35" s="178" t="n"/>
      <c r="Q35" s="178" t="n"/>
      <c r="R35" s="180" t="inlineStr">
        <is>
          <t>https://m.place.naver.com/place/1488742401/home</t>
        </is>
      </c>
      <c r="S35" s="179" t="inlineStr">
        <is>
          <t>기각: bonble_songdo:빵카페(구송도), 강북구 봉플레이스와 지역·업종 불일치(빵집)</t>
        </is>
      </c>
    </row>
    <row r="36" ht="48" customHeight="1">
      <c r="A36" s="94" t="inlineStr">
        <is>
          <t>서울특별시</t>
        </is>
      </c>
      <c r="B36" s="95" t="inlineStr">
        <is>
          <t>11</t>
        </is>
      </c>
      <c r="C36" s="95" t="inlineStr">
        <is>
          <t>강북·은평</t>
        </is>
      </c>
      <c r="D36" s="95" t="n">
        <v>2</v>
      </c>
      <c r="E36" s="50" t="inlineStr">
        <is>
          <t>카드샵 와우 보드게임 카페</t>
        </is>
      </c>
      <c r="F36" s="50" t="inlineStr">
        <is>
          <t>0507-1322-8765</t>
        </is>
      </c>
      <c r="G36" s="50" t="inlineStr">
        <is>
          <t>서울 은평구 통일로 687, 지하 1층</t>
        </is>
      </c>
      <c r="H36" s="50" t="str"/>
      <c r="I36" s="50" t="inlineStr">
        <is>
          <t>은평구의 보드게임·TCG 복합 매장으로 공식 카드게임 강습회 참여 이력이 확인되는 지역 플레이 공간.</t>
        </is>
      </c>
      <c r="J36" s="50" t="inlineStr">
        <is>
          <t>https://www.google.com/maps/search/?api=1&amp;query=%EC%B9%B4%EB%93%9C%EC%83%B5%20%EC%99%80%EC%9A%B0%20%EB%B3%B4%EB%93%9C%EA%B2%8C%EC%9E%84%20%EC%B9%B4%ED%8E%98%20%EC%84%9C%EC%9A%B8%20%EC%9D%80%ED%8F%89%EA%B5%AC%20%ED%86%B5%EC%9D%BC%EB%A1%9C%20687%2C%20%EC%A7%80%ED%95%98%201%EC%B8%B5</t>
        </is>
      </c>
      <c r="K36" s="51" t="inlineStr">
        <is>
          <t>2026-09-11</t>
        </is>
      </c>
      <c r="L36" s="178" t="inlineStr">
        <is>
          <t>없음</t>
        </is>
      </c>
      <c r="M36" s="178" t="n"/>
      <c r="N36" s="180" t="inlineStr">
        <is>
          <t>https://ldb-phinf.pstatic.net/20260630_88/1782800436649EL2Rp_JPEG/1000020427.jpg</t>
        </is>
      </c>
      <c r="O36" s="178" t="inlineStr">
        <is>
          <t>네이버 플레이스</t>
        </is>
      </c>
      <c r="P36" s="178" t="n"/>
      <c r="Q36" s="178" t="n"/>
      <c r="R36" s="180" t="inlineStr">
        <is>
          <t>https://m.place.naver.com/place/2070815016/home</t>
        </is>
      </c>
      <c r="S36" s="179" t="inlineStr">
        <is>
          <t>네이버 등록 링크 @jihyeonseung96 은 프로필 대조 결과 무관 계정으로 판단 / 기각: jihyeonseung96:WebFetch 2회(en/ko) 모두 프로필 데이터 추출 실패(이미지만 렌더링)</t>
        </is>
      </c>
    </row>
    <row r="37" ht="48" customHeight="1">
      <c r="A37" s="94" t="inlineStr">
        <is>
          <t>서울특별시</t>
        </is>
      </c>
      <c r="B37" s="95" t="inlineStr">
        <is>
          <t>11</t>
        </is>
      </c>
      <c r="C37" s="95" t="inlineStr">
        <is>
          <t>강북·은평</t>
        </is>
      </c>
      <c r="D37" s="95" t="n">
        <v>3</v>
      </c>
      <c r="E37" s="50" t="inlineStr">
        <is>
          <t>티씨지라보</t>
        </is>
      </c>
      <c r="F37" s="50" t="inlineStr">
        <is>
          <t>공개 대표번호 미확인</t>
        </is>
      </c>
      <c r="G37" s="50" t="inlineStr">
        <is>
          <t>서울 은평구 가좌로 251, 3층</t>
        </is>
      </c>
      <c r="H37" s="50" t="str"/>
      <c r="I37" s="50" t="inlineStr">
        <is>
          <t>원피스 카드게임 공식 이벤트 개최 이력이 확인되는 지역 TCG 매장으로 카드 판매와 대회·교류 중심의 플레이 공간입니다.</t>
        </is>
      </c>
      <c r="J37" s="50" t="inlineStr">
        <is>
          <t>https://www.google.com/maps/search/?api=1&amp;query=%ED%8B%B0%EC%94%A8%EC%A7%80%EB%9D%BC%EB%B3%B4%20%EC%84%9C%EC%9A%B8%20%EC%9D%80%ED%8F%89%EA%B5%AC%20%EA%B0%80%EC%A2%8C%EB%A1%9C%20251%2C%203%EC%B8%B5</t>
        </is>
      </c>
      <c r="K37" s="51" t="inlineStr">
        <is>
          <t>2026-09-11</t>
        </is>
      </c>
      <c r="L37" s="178" t="inlineStr">
        <is>
          <t>없음</t>
        </is>
      </c>
      <c r="M37" s="178" t="n"/>
      <c r="N37" s="180" t="inlineStr">
        <is>
          <t>https://ldb-phinf.pstatic.net/20230827_204/16931463010319wYz3_JPEG/IMG_1126.jpeg</t>
        </is>
      </c>
      <c r="O37" s="178" t="inlineStr">
        <is>
          <t>네이버 플레이스</t>
        </is>
      </c>
      <c r="P37" s="178" t="n"/>
      <c r="Q37" s="178" t="n"/>
      <c r="R37" s="180" t="inlineStr">
        <is>
          <t>https://m.place.naver.com/place/1445926627/home</t>
        </is>
      </c>
      <c r="S37" s="179" t="n"/>
    </row>
    <row r="38" ht="48" customHeight="1">
      <c r="A38" s="94" t="inlineStr">
        <is>
          <t>서울특별시</t>
        </is>
      </c>
      <c r="B38" s="95" t="inlineStr">
        <is>
          <t>12</t>
        </is>
      </c>
      <c r="C38" s="95" t="inlineStr">
        <is>
          <t>용산</t>
        </is>
      </c>
      <c r="D38" s="95" t="n">
        <v>1</v>
      </c>
      <c r="E38" s="50" t="inlineStr">
        <is>
          <t>포켓몬 카드샵 용산</t>
        </is>
      </c>
      <c r="F38" s="50" t="inlineStr">
        <is>
          <t>1588-4273*</t>
        </is>
      </c>
      <c r="G38" s="50" t="inlineStr">
        <is>
          <t>서울 용산구 한강대로23길 55, 아이파크몰 리빙파크 8층</t>
        </is>
      </c>
      <c r="H38" s="50" t="inlineStr">
        <is>
          <t>10:30~20:30 / 금·토·공휴일 10:30~21:00</t>
        </is>
      </c>
      <c r="I38" s="50" t="inlineStr">
        <is>
          <t>포켓몬코리아 공식 카드샵·이벤트 정보에서 확인되는 매장으로 포켓몬 TCG 상품과 토너먼트·플레이 이용이 가능한 곳입니다.</t>
        </is>
      </c>
      <c r="J38" s="50" t="inlineStr">
        <is>
          <t>https://gw.iparkmall.co.kr/shop/store/dtl.do?chnlNo=002766</t>
        </is>
      </c>
      <c r="K38" s="51" t="inlineStr">
        <is>
          <t>2026-09-11</t>
        </is>
      </c>
      <c r="L38" s="178" t="inlineStr">
        <is>
          <t>없음</t>
        </is>
      </c>
      <c r="M38" s="178" t="n"/>
      <c r="N38" s="180" t="inlineStr">
        <is>
          <t>https://gw.iparkmall.co.kr/shop/brandimg.do?brandCod=002766</t>
        </is>
      </c>
      <c r="O38" s="178" t="inlineStr">
        <is>
          <t>공식 사이트</t>
        </is>
      </c>
      <c r="P38" s="178" t="n"/>
      <c r="Q38" s="178" t="n"/>
      <c r="R38" s="180" t="inlineStr">
        <is>
          <t>https://m.place.naver.com/place/1670065886/home</t>
        </is>
      </c>
      <c r="S38" s="179" t="inlineStr">
        <is>
          <t>기각: card_sungji:카드성지, 한강대로95 래미안 — 용산 인근이나 상호·정확 주소(아이파크몰)가 불일치</t>
        </is>
      </c>
    </row>
    <row r="39" ht="48" customHeight="1">
      <c r="A39" s="94" t="inlineStr">
        <is>
          <t>서울특별시</t>
        </is>
      </c>
      <c r="B39" s="95" t="inlineStr">
        <is>
          <t>13</t>
        </is>
      </c>
      <c r="C39" s="95" t="inlineStr">
        <is>
          <t>종로</t>
        </is>
      </c>
      <c r="D39" s="95" t="n">
        <v>1</v>
      </c>
      <c r="E39" s="50" t="inlineStr">
        <is>
          <t>하비게임몰 종로점</t>
        </is>
      </c>
      <c r="F39" s="50" t="inlineStr">
        <is>
          <t>010-4882-3911</t>
        </is>
      </c>
      <c r="G39" s="50" t="inlineStr">
        <is>
          <t>서울 종로구 율곡로 202-7 제일빌딩 A동 4층</t>
        </is>
      </c>
      <c r="H39" s="50" t="str"/>
      <c r="I39" s="50" t="inlineStr">
        <is>
          <t>약 90석 규모 플레이 공간과 판매 매대를 갖추고 다양한 TCG 대회·체험 행사를 운영하는 종로 카드샵.</t>
        </is>
      </c>
      <c r="J39" s="50" t="inlineStr">
        <is>
          <t>https://www.google.com/maps/search/?api=1&amp;query=%ED%95%98%EB%B9%84%EA%B2%8C%EC%9E%84%EB%AA%B0%20%EC%A2%85%EB%A1%9C%EC%A0%90%20%EC%84%9C%EC%9A%B8%20%EC%A2%85%EB%A1%9C%EA%B5%AC%20%EC%9C%A8%EA%B3%A1%EB%A1%9C%20202-7%20%EC%A0%9C%EC%9D%BC%EB%B9%8C%EB%94%A9%20A%EB%8F%99%204%EC%B8%B5</t>
        </is>
      </c>
      <c r="K39" s="51" t="inlineStr">
        <is>
          <t>2026-09-11</t>
        </is>
      </c>
      <c r="L39" s="178" t="inlineStr">
        <is>
          <t>@hobbygamemall</t>
        </is>
      </c>
      <c r="M39" s="180" t="inlineStr">
        <is>
          <t>https://www.instagram.com/hobbygamemall/</t>
        </is>
      </c>
      <c r="N39" s="180" t="inlineStr">
        <is>
          <t>https://scontent-icn2-1.cdninstagram.com/v/t51.2885-19/47690002_307027629931125_5324351840228212736_n.jpg?stp=dst-jpg_s150x150_tt6&amp;_nc_cat=105&amp;ccb=7-5&amp;_nc_sid=f7ccc5&amp;efg=eyJ2ZW5jb2RlX3RhZyI6InByb2ZpbGVfcGljLnd3dy42NDAuQzMifQ%3D%3D&amp;_nc_ohc=7vPn5ityCj4Q7kNvwE5VFhY&amp;_nc_oc=AddrZ5kwMlH_qDS_3_TiRchgWqxlK4YXAAxqgf9yU-CivBL56XXt0NpzB-KX2KThWyXc&amp;_nc_zt=24&amp;_nc_ht=scontent-icn2-1.cdninstagram.com&amp;_nc_ss=7fa02&amp;oh=00_AQJahwTpOhRxqrYkzbJ7izLK59tIkrO2rk_XLJVPgHrjUw&amp;oe=6AA99042</t>
        </is>
      </c>
      <c r="O39" s="178" t="inlineStr">
        <is>
          <t>인스타 프로필(단기 만료)</t>
        </is>
      </c>
      <c r="P39" s="178" t="n"/>
      <c r="Q39" s="178" t="n"/>
      <c r="R39" s="178" t="n"/>
      <c r="S39" s="179" t="inlineStr">
        <is>
          <t>brand account (하비게임몰 본사 계정, 종로점 전용 아님) / 네이버 플레이스 미매칭</t>
        </is>
      </c>
    </row>
    <row r="40" ht="48" customHeight="1">
      <c r="A40" s="98" t="inlineStr">
        <is>
          <t>경기도</t>
        </is>
      </c>
      <c r="B40" s="99" t="inlineStr">
        <is>
          <t>01</t>
        </is>
      </c>
      <c r="C40" s="99" t="inlineStr">
        <is>
          <t>성남·분당</t>
        </is>
      </c>
      <c r="D40" s="99" t="n">
        <v>1</v>
      </c>
      <c r="E40" s="50" t="inlineStr">
        <is>
          <t>LIFELINK 라이프링크</t>
        </is>
      </c>
      <c r="F40" s="50" t="inlineStr">
        <is>
          <t>070-4849-0579</t>
        </is>
      </c>
      <c r="G40" s="50" t="inlineStr">
        <is>
          <t>경기 성남시 분당구 분당로53번길 19, 303호</t>
        </is>
      </c>
      <c r="H40" s="50" t="str"/>
      <c r="I40" s="50" t="inlineStr">
        <is>
          <t>분당 지역의 트레이딩 카드 매장으로 확인되는 TCG 공간. 다양한 카드게임 플레이어가 찾는 지역 오프라인 거점으로 이용할 수 있는 지역 TCG 매장입니다.</t>
        </is>
      </c>
      <c r="J40" s="50" t="inlineStr">
        <is>
          <t>https://www.google.com/maps/search/?api=1&amp;query=LIFELINK%20%EB%9D%BC%EC%9D%B4%ED%94%84%EB%A7%81%ED%81%AC%20%EA%B2%BD%EA%B8%B0%20%EC%84%B1%EB%82%A8%EC%8B%9C%20%EB%B6%84%EB%8B%B9%EA%B5%AC%20%EB%B6%84%EB%8B%B9%EB%A1%9C53%EB%B2%88%EA%B8%B8%2019%2C%20303%ED%98%B8</t>
        </is>
      </c>
      <c r="K40" s="51" t="inlineStr">
        <is>
          <t>2026-09-11</t>
        </is>
      </c>
      <c r="L40" s="178" t="inlineStr">
        <is>
          <t>@tcg.lifelink</t>
        </is>
      </c>
      <c r="M40" s="180" t="inlineStr">
        <is>
          <t>https://www.instagram.com/tcg.lifelink/</t>
        </is>
      </c>
      <c r="N40" s="180" t="inlineStr">
        <is>
          <t>https://ldb-phinf.pstatic.net/20241015_141/1728964952444bd316_PNG/%BF%CF%BC%BA%C7%FC_%C3%CA%B7%CF%B9%E8%B0%E6_%BA%A3%C0%CC%C1%F6%B7%CE%B0%ED.png</t>
        </is>
      </c>
      <c r="O40" s="178" t="inlineStr">
        <is>
          <t>네이버 플레이스</t>
        </is>
      </c>
      <c r="P40" s="180" t="inlineStr">
        <is>
          <t>https://scontent-icn2-1.cdninstagram.com/v/t51.2885-19/462954681_2538967579646019_4097142679042648000_n.jpg?stp=dst-jpg_s150x150_tt6&amp;_nc_cat=100&amp;ccb=7-5&amp;_nc_sid=f7ccc5&amp;efg=eyJ2ZW5jb2RlX3RhZyI6InByb2ZpbGVfcGljLnd3dy4xMDgwLkMzIn0%3D&amp;_nc_ohc=LtV36Mh8idUQ7kNvwGpwaas&amp;_nc_oc=AdrOU4oxzPfnugvCZdfiXY4k8O7zWeT4Id56gExr0NoRt1MO8hjtQuaKT4K0CHzf9fk&amp;_nc_zt=24&amp;_nc_ht=scontent-icn2-1.cdninstagram.com&amp;_nc_ss=7fa02&amp;oh=00_AQJv0LmrCzLr819v8dydXud5Ep_aWAXOoZgUw7iauDSiUQ&amp;oe=6AA99AE1</t>
        </is>
      </c>
      <c r="Q40" s="178" t="n"/>
      <c r="R40" s="180" t="inlineStr">
        <is>
          <t>https://m.place.naver.com/place/1563792469/home</t>
        </is>
      </c>
      <c r="S40" s="179" t="inlineStr">
        <is>
          <t>주소(분당로53번길 19) 정확 일치</t>
        </is>
      </c>
    </row>
    <row r="41" ht="48" customHeight="1">
      <c r="A41" s="98" t="inlineStr">
        <is>
          <t>경기도</t>
        </is>
      </c>
      <c r="B41" s="99" t="inlineStr">
        <is>
          <t>01</t>
        </is>
      </c>
      <c r="C41" s="99" t="inlineStr">
        <is>
          <t>성남·분당</t>
        </is>
      </c>
      <c r="D41" s="99" t="n">
        <v>2</v>
      </c>
      <c r="E41" s="50" t="inlineStr">
        <is>
          <t>덕 케이브</t>
        </is>
      </c>
      <c r="F41" s="50" t="inlineStr">
        <is>
          <t>공개 대표번호 미확인</t>
        </is>
      </c>
      <c r="G41" s="50" t="inlineStr">
        <is>
          <t>경기 성남시 수정구 복정로 8, 지하 B02</t>
        </is>
      </c>
      <c r="H41" s="50" t="str"/>
      <c r="I41" s="50" t="inlineStr">
        <is>
          <t>원피스 카드게임 공식 이벤트 개최 이력이 확인되는 지역 TCG 매장으로 카드 판매와 대회·교류 중심의 플레이 공간입니다.</t>
        </is>
      </c>
      <c r="J41" s="50" t="inlineStr">
        <is>
          <t>https://www.google.com/maps/search/?api=1&amp;query=%EB%8D%95%20%EC%BC%80%EC%9D%B4%EB%B8%8C%20%EA%B2%BD%EA%B8%B0%20%EC%84%B1%EB%82%A8%EC%8B%9C%20%EC%88%98%EC%A0%95%EA%B5%AC%20%EB%B3%B5%EC%A0%95%EB%A1%9C%208%2C%20%EC%A7%80%ED%95%98%20B02</t>
        </is>
      </c>
      <c r="K41" s="51" t="inlineStr">
        <is>
          <t>2026-09-11</t>
        </is>
      </c>
      <c r="L41" s="178" t="inlineStr">
        <is>
          <t>없음</t>
        </is>
      </c>
      <c r="M41" s="178" t="n"/>
      <c r="N41" s="180" t="inlineStr">
        <is>
          <t>https://ldb-phinf.pstatic.net/20260309_140/177304761172734eIF_PNG/KakaoTalk_20250919_133510284_02.png</t>
        </is>
      </c>
      <c r="O41" s="178" t="inlineStr">
        <is>
          <t>네이버 플레이스</t>
        </is>
      </c>
      <c r="P41" s="178" t="n"/>
      <c r="Q41" s="178" t="n"/>
      <c r="R41" s="180" t="inlineStr">
        <is>
          <t>https://m.place.naver.com/place/2064690284/home</t>
        </is>
      </c>
      <c r="S41" s="179" t="n"/>
    </row>
    <row r="42" ht="48" customHeight="1">
      <c r="A42" s="98" t="inlineStr">
        <is>
          <t>경기도</t>
        </is>
      </c>
      <c r="B42" s="99" t="inlineStr">
        <is>
          <t>01</t>
        </is>
      </c>
      <c r="C42" s="99" t="inlineStr">
        <is>
          <t>성남·분당</t>
        </is>
      </c>
      <c r="D42" s="99" t="n">
        <v>3</v>
      </c>
      <c r="E42" s="50" t="inlineStr">
        <is>
          <t>야탑 배틀시티</t>
        </is>
      </c>
      <c r="F42" s="50" t="inlineStr">
        <is>
          <t>031-707-7278</t>
        </is>
      </c>
      <c r="G42" s="50" t="inlineStr">
        <is>
          <t>경기 성남시 분당구 야탑동 368-6, 지층</t>
        </is>
      </c>
      <c r="H42" s="50" t="str"/>
      <c r="I42" s="50" t="inlineStr">
        <is>
          <t>원피스 카드게임 공식 이벤트 개최 이력이 확인되는 지역 TCG 매장으로 카드 판매와 대회·교류 중심의 플레이 공간입니다.</t>
        </is>
      </c>
      <c r="J42" s="50" t="inlineStr">
        <is>
          <t>https://www.google.com/maps/search/?api=1&amp;query=%EC%95%BC%ED%83%91%20%EB%B0%B0%ED%8B%80%EC%8B%9C%ED%8B%B0%20%EA%B2%BD%EA%B8%B0%20%EC%84%B1%EB%82%A8%EC%8B%9C%20%EB%B6%84%EB%8B%B9%EA%B5%AC%20%EC%95%BC%ED%83%91%EB%8F%99%20368-6%2C%20%EC%A7%80%EC%B8%B5</t>
        </is>
      </c>
      <c r="K42" s="51" t="inlineStr">
        <is>
          <t>2026-09-11</t>
        </is>
      </c>
      <c r="L42" s="178" t="inlineStr">
        <is>
          <t>없음</t>
        </is>
      </c>
      <c r="M42" s="178" t="n"/>
      <c r="N42" s="178" t="n"/>
      <c r="O42" s="178" t="n"/>
      <c r="P42" s="178" t="n"/>
      <c r="Q42" s="178" t="n"/>
      <c r="R42" s="180" t="inlineStr">
        <is>
          <t>https://m.place.naver.com/place/1327567091/home</t>
        </is>
      </c>
      <c r="S42" s="179" t="n"/>
    </row>
    <row r="43" ht="48" customHeight="1">
      <c r="A43" s="98" t="inlineStr">
        <is>
          <t>경기도</t>
        </is>
      </c>
      <c r="B43" s="99" t="inlineStr">
        <is>
          <t>01</t>
        </is>
      </c>
      <c r="C43" s="99" t="inlineStr">
        <is>
          <t>성남·분당</t>
        </is>
      </c>
      <c r="D43" s="99" t="n">
        <v>4</v>
      </c>
      <c r="E43" s="50" t="inlineStr">
        <is>
          <t>카드빈</t>
        </is>
      </c>
      <c r="F43" s="50" t="inlineStr">
        <is>
          <t>0507-1495-0984</t>
        </is>
      </c>
      <c r="G43" s="50" t="inlineStr">
        <is>
          <t>경기 성남시 분당구 황새울로214번길 8, 802호</t>
        </is>
      </c>
      <c r="H43" s="50" t="str"/>
      <c r="I43" s="50" t="inlineStr">
        <is>
          <t>원피스 카드게임 공식 이벤트 개최 이력이 확인되는 지역 TCG 매장으로 카드 판매와 대회·교류 중심의 플레이 공간입니다.</t>
        </is>
      </c>
      <c r="J43" s="50" t="inlineStr">
        <is>
          <t>https://www.google.com/maps/search/?api=1&amp;query=%EC%B9%B4%EB%93%9C%EB%B9%88%20%EA%B2%BD%EA%B8%B0%20%EC%84%B1%EB%82%A8%EC%8B%9C%20%EB%B6%84%EB%8B%B9%EA%B5%AC%20%ED%99%A9%EC%83%88%EC%9A%B8%EB%A1%9C214%EB%B2%88%EA%B8%B8%208%2C%20802%ED%98%B8</t>
        </is>
      </c>
      <c r="K43" s="51" t="inlineStr">
        <is>
          <t>2026-09-11</t>
        </is>
      </c>
      <c r="L43" s="178" t="inlineStr">
        <is>
          <t>없음</t>
        </is>
      </c>
      <c r="M43" s="178" t="n"/>
      <c r="N43" s="180" t="inlineStr">
        <is>
          <t>https://ldb-phinf.pstatic.net/20260701_20/1782871089969Y7rCg_JPEG/111.jpg</t>
        </is>
      </c>
      <c r="O43" s="178" t="inlineStr">
        <is>
          <t>네이버 플레이스</t>
        </is>
      </c>
      <c r="P43" s="178" t="n"/>
      <c r="Q43" s="178" t="n"/>
      <c r="R43" s="180" t="inlineStr">
        <is>
          <t>https://m.place.naver.com/place/2095764876/home</t>
        </is>
      </c>
      <c r="S43" s="179" t="n"/>
    </row>
    <row r="44" ht="48" customHeight="1">
      <c r="A44" s="98" t="inlineStr">
        <is>
          <t>경기도</t>
        </is>
      </c>
      <c r="B44" s="99" t="inlineStr">
        <is>
          <t>02</t>
        </is>
      </c>
      <c r="C44" s="99" t="inlineStr">
        <is>
          <t>평택</t>
        </is>
      </c>
      <c r="D44" s="99" t="n">
        <v>1</v>
      </c>
      <c r="E44" s="50" t="inlineStr">
        <is>
          <t>MTG Osan Tabletop</t>
        </is>
      </c>
      <c r="F44" s="50" t="inlineStr">
        <is>
          <t>070-8285-6795</t>
        </is>
      </c>
      <c r="G44" s="50" t="inlineStr">
        <is>
          <t>경기 평택시 신장1로 2, 로얄코리아 205호</t>
        </is>
      </c>
      <c r="H44" s="50" t="inlineStr">
        <is>
          <t>수·목 13:00~21:00 / 금 13:00~23:00 / 토 12:00~23:00 / 일 12:00~21:00</t>
        </is>
      </c>
      <c r="I44" s="50" t="inlineStr">
        <is>
          <t>평택 신장동의 MTG 중심 카드·테이블탑 매장으로 매직 플레이어와 보드게임 이용자가 찾는 오프라인 공간입니다.</t>
        </is>
      </c>
      <c r="J44" s="50" t="inlineStr">
        <is>
          <t>https://www.google.com/maps/search/?api=1&amp;query=MTG%20Osan%20Tabletop%20%EA%B2%BD%EA%B8%B0%20%ED%8F%89%ED%83%9D%EC%8B%9C%20%EC%8B%A0%EC%9E%A51%EB%A1%9C%202%2C%20%EB%A1%9C%EC%96%84%EC%BD%94%EB%A6%AC%EC%95%84%20205%ED%98%B8</t>
        </is>
      </c>
      <c r="K44" s="51" t="inlineStr">
        <is>
          <t>2026-09-11</t>
        </is>
      </c>
      <c r="L44" s="178" t="inlineStr">
        <is>
          <t>@mtg_osan_tabletop</t>
        </is>
      </c>
      <c r="M44" s="180" t="inlineStr">
        <is>
          <t>https://www.instagram.com/mtg_osan_tabletop/</t>
        </is>
      </c>
      <c r="N44" s="180" t="inlineStr">
        <is>
          <t>https://ldb-phinf.pstatic.net/20240802_254/17225562903370Jlxq_JPEG/KakaoTalk_20240801_162835764.jpg</t>
        </is>
      </c>
      <c r="O44" s="178" t="inlineStr">
        <is>
          <t>네이버 플레이스</t>
        </is>
      </c>
      <c r="P44" s="180" t="inlineStr">
        <is>
          <t>https://scontent-icn2-1.cdninstagram.com/v/t51.82787-19/588564798_18068686598567060_4446960302598838146_n.jpg?stp=dst-jpg_s150x150_tt6&amp;_nc_cat=101&amp;ccb=7-5&amp;_nc_sid=f7ccc5&amp;efg=eyJ2ZW5jb2RlX3RhZyI6InByb2ZpbGVfcGljLnd3dy41NTMuQzMifQ%3D%3D&amp;_nc_ohc=u7qWjBt3f5YQ7kNvwHFpJFw&amp;_nc_oc=Adou3H1IWJv-1dx5IMmtYCYyAD_AEjgtEtfhVJMZBrgwwmjbym5OSYKXRISvfJSPtrM&amp;_nc_zt=24&amp;_nc_ht=scontent-icn2-1.cdninstagram.com&amp;_nc_gid=Qcm5xd4NQBCKfVRIV1zwiQ&amp;_nc_ss=7fa02&amp;oh=00_AQK5mZRFDBTOp1ayizAcBuxWHjxqb-cTmBosKsqgzK0VfQ&amp;oe=6AA9FC12</t>
        </is>
      </c>
      <c r="Q44" s="178" t="n"/>
      <c r="R44" s="180" t="inlineStr">
        <is>
          <t>https://m.place.naver.com/place/1727987183/home</t>
        </is>
      </c>
      <c r="S44" s="179" t="inlineStr">
        <is>
          <t>상호명과 계정명 완전 일치, MTG 취미 계정</t>
        </is>
      </c>
    </row>
    <row r="45" ht="48" customHeight="1">
      <c r="A45" s="98" t="inlineStr">
        <is>
          <t>경기도</t>
        </is>
      </c>
      <c r="B45" s="99" t="inlineStr">
        <is>
          <t>02</t>
        </is>
      </c>
      <c r="C45" s="99" t="inlineStr">
        <is>
          <t>평택</t>
        </is>
      </c>
      <c r="D45" s="99" t="n">
        <v>2</v>
      </c>
      <c r="E45" s="50" t="inlineStr">
        <is>
          <t>TCG card &amp; HOBBY store</t>
        </is>
      </c>
      <c r="F45" s="50" t="inlineStr">
        <is>
          <t>공개 대표번호 미확인</t>
        </is>
      </c>
      <c r="G45" s="50" t="inlineStr">
        <is>
          <t>경기 평택시 팽성읍 안정쇼핑로 8</t>
        </is>
      </c>
      <c r="H45" s="50" t="inlineStr">
        <is>
          <t>수~일 11:00~20:00 (공개 지도 기준)</t>
        </is>
      </c>
      <c r="I45" s="50" t="inlineStr">
        <is>
          <t>평택 팽성읍에서 확인되는 트레이딩 카드 전문점. 특정 IP에 한정하지 않은 지역 TCG/하비 매장으로 분류하기 좋은 매장입니다.</t>
        </is>
      </c>
      <c r="J45" s="50" t="inlineStr">
        <is>
          <t>https://www.google.com/maps/search/?api=1&amp;query=TCG%20card%20%26%20HOBBY%20store%20%EA%B2%BD%EA%B8%B0%20%ED%8F%89%ED%83%9D%EC%8B%9C%20%ED%8C%BD%EC%84%B1%EC%9D%8D%20%EC%95%88%EC%A0%95%EC%87%BC%ED%95%91%EB%A1%9C%208</t>
        </is>
      </c>
      <c r="K45" s="51" t="inlineStr">
        <is>
          <t>2026-09-11</t>
        </is>
      </c>
      <c r="L45" s="178" t="inlineStr">
        <is>
          <t>없음</t>
        </is>
      </c>
      <c r="M45" s="178" t="n"/>
      <c r="N45" s="178" t="n"/>
      <c r="O45" s="178" t="n"/>
      <c r="P45" s="178" t="n"/>
      <c r="Q45" s="178" t="n"/>
      <c r="R45" s="178" t="n"/>
      <c r="S45" s="179" t="inlineStr">
        <is>
          <t>네이버 플레이스 미매칭</t>
        </is>
      </c>
    </row>
    <row r="46" ht="48" customHeight="1">
      <c r="A46" s="98" t="inlineStr">
        <is>
          <t>경기도</t>
        </is>
      </c>
      <c r="B46" s="99" t="inlineStr">
        <is>
          <t>02</t>
        </is>
      </c>
      <c r="C46" s="99" t="inlineStr">
        <is>
          <t>평택</t>
        </is>
      </c>
      <c r="D46" s="99" t="n">
        <v>3</v>
      </c>
      <c r="E46" s="50" t="inlineStr">
        <is>
          <t>스페이스 우라라 평택점</t>
        </is>
      </c>
      <c r="F46" s="50" t="inlineStr">
        <is>
          <t>0507-1383-7794</t>
        </is>
      </c>
      <c r="G46" s="50" t="inlineStr">
        <is>
          <t>경기 평택시 평택2로 16, 2층</t>
        </is>
      </c>
      <c r="H46" s="50" t="str"/>
      <c r="I46" s="50" t="inlineStr">
        <is>
          <t>평택 지역 TCG·보드게임 공간으로 공식 카드게임 강습회 매장 목록에서 확인되는 오프라인 플레이 거점.</t>
        </is>
      </c>
      <c r="J46" s="50" t="inlineStr">
        <is>
          <t>https://www.google.com/maps/search/?api=1&amp;query=%EC%8A%A4%ED%8E%98%EC%9D%B4%EC%8A%A4%20%EC%9A%B0%EB%9D%BC%EB%9D%BC%20%ED%8F%89%ED%83%9D%EC%A0%90%20%EA%B2%BD%EA%B8%B0%20%ED%8F%89%ED%83%9D%EC%8B%9C%20%ED%8F%89%ED%83%9D2%EB%A1%9C%2016%2C%202%EC%B8%B5</t>
        </is>
      </c>
      <c r="K46" s="51" t="inlineStr">
        <is>
          <t>2026-09-11</t>
        </is>
      </c>
      <c r="L46" s="178" t="inlineStr">
        <is>
          <t>@urara_pt</t>
        </is>
      </c>
      <c r="M46" s="180" t="inlineStr">
        <is>
          <t>https://www.instagram.com/urara_pt/</t>
        </is>
      </c>
      <c r="N46" s="180" t="inlineStr">
        <is>
          <t>https://ldb-phinf.pstatic.net/20260716_44/1784128806040Yzg7w_JPEG/IMG_0579.jpg</t>
        </is>
      </c>
      <c r="O46" s="178" t="inlineStr">
        <is>
          <t>네이버 플레이스</t>
        </is>
      </c>
      <c r="P46" s="180" t="inlineStr">
        <is>
          <t>https://scontent-icn2-1.cdninstagram.com/v/t51.82787-19/783485999_18084064595345202_5801415439498072594_n.jpg?stp=dst-jpg_s150x150_tt6&amp;_nc_cat=109&amp;ccb=7-5&amp;_nc_sid=f7ccc5&amp;efg=eyJ2ZW5jb2RlX3RhZyI6InByb2ZpbGVfcGljLnd3dy4xMDgwLkMzIn0%3D&amp;_nc_ohc=jYI7rnaDtBQQ7kNvwExLemj&amp;_nc_oc=AdrI7Fa1W1Vj7LuXcdN4hviH00aVNckH5qz4gw_9EintPzoyP0HOMJnNNvttKLDM16Q&amp;_nc_zt=24&amp;_nc_ht=scontent-icn2-1.cdninstagram.com&amp;_nc_gid=p-vS1wlgt4VOWePARTrj6w&amp;_nc_ss=7fa02&amp;oh=00_AQIC0eqxr7MbFPUJzmt8u68qkxpWWxaD6p0bm_ckoQphgw&amp;oe=6AA9B6A0</t>
        </is>
      </c>
      <c r="Q46" s="178" t="n"/>
      <c r="R46" s="180" t="inlineStr">
        <is>
          <t>https://m.place.naver.com/place/2013441144/home</t>
        </is>
      </c>
      <c r="S46" s="179" t="inlineStr">
        <is>
          <t>상호·주소(평택2로 16 2층) 정확 일치</t>
        </is>
      </c>
    </row>
    <row r="47" ht="48" customHeight="1">
      <c r="A47" s="98" t="inlineStr">
        <is>
          <t>경기도</t>
        </is>
      </c>
      <c r="B47" s="99" t="inlineStr">
        <is>
          <t>02</t>
        </is>
      </c>
      <c r="C47" s="99" t="inlineStr">
        <is>
          <t>평택</t>
        </is>
      </c>
      <c r="D47" s="99" t="n">
        <v>4</v>
      </c>
      <c r="E47" s="50" t="inlineStr">
        <is>
          <t>카드빌리지 평택</t>
        </is>
      </c>
      <c r="F47" s="50" t="inlineStr">
        <is>
          <t>010-8286-1038</t>
        </is>
      </c>
      <c r="G47" s="50" t="inlineStr">
        <is>
          <t>경기 평택시 통복시장1로 29, 지하 1층</t>
        </is>
      </c>
      <c r="H47" s="50" t="str"/>
      <c r="I47" s="50" t="inlineStr">
        <is>
          <t>원피스 카드게임 공식 이벤트 개최 이력이 확인되는 지역 TCG 매장으로 카드 판매와 대회·교류 중심의 플레이 공간입니다.</t>
        </is>
      </c>
      <c r="J47" s="50" t="inlineStr">
        <is>
          <t>https://www.google.com/maps/search/?api=1&amp;query=%EC%B9%B4%EB%93%9C%EB%B9%8C%EB%A6%AC%EC%A7%80%20%ED%8F%89%ED%83%9D%20%EA%B2%BD%EA%B8%B0%20%ED%8F%89%ED%83%9D%EC%8B%9C%20%ED%86%B5%EB%B3%B5%EC%8B%9C%EC%9E%A51%EB%A1%9C%2029%2C%20%EC%A7%80%ED%95%98%201%EC%B8%B5</t>
        </is>
      </c>
      <c r="K47" s="51" t="inlineStr">
        <is>
          <t>2026-09-11</t>
        </is>
      </c>
      <c r="L47" s="178" t="inlineStr">
        <is>
          <t>없음</t>
        </is>
      </c>
      <c r="M47" s="178" t="n"/>
      <c r="N47" s="178" t="n"/>
      <c r="O47" s="178" t="n"/>
      <c r="P47" s="178" t="n"/>
      <c r="Q47" s="178" t="n"/>
      <c r="R47" s="178" t="n"/>
      <c r="S47" s="179" t="inlineStr">
        <is>
          <t>네이버 플레이스 미매칭 / 기각: tmoney_insta:unrelated (T-money 교통카드 공식 계정), 이름상 명백히 무관하여 미조회</t>
        </is>
      </c>
    </row>
    <row r="48" ht="48" customHeight="1">
      <c r="A48" s="98" t="inlineStr">
        <is>
          <t>경기도</t>
        </is>
      </c>
      <c r="B48" s="99" t="inlineStr">
        <is>
          <t>02</t>
        </is>
      </c>
      <c r="C48" s="99" t="inlineStr">
        <is>
          <t>평택</t>
        </is>
      </c>
      <c r="D48" s="99" t="n">
        <v>5</v>
      </c>
      <c r="E48" s="50" t="inlineStr">
        <is>
          <t>카드홀릭 평택</t>
        </is>
      </c>
      <c r="F48" s="50" t="inlineStr">
        <is>
          <t>010-2712-8884</t>
        </is>
      </c>
      <c r="G48" s="50" t="inlineStr">
        <is>
          <t>경기 평택시 평택2로 16, 3층</t>
        </is>
      </c>
      <c r="H48" s="50" t="str"/>
      <c r="I48" s="50" t="inlineStr">
        <is>
          <t>포켓몬 공식 카드샵·이벤트와 원피스 공식 대회 이력이 함께 확인되는 멀티 TCG 매장으로 상품 구매와 플레이 이용이 가능합니다.</t>
        </is>
      </c>
      <c r="J48" s="50" t="inlineStr">
        <is>
          <t>https://www.google.com/maps/search/?api=1&amp;query=%EC%B9%B4%EB%93%9C%ED%99%80%EB%A6%AD%20%ED%8F%89%ED%83%9D%20%EA%B2%BD%EA%B8%B0%20%ED%8F%89%ED%83%9D%EC%8B%9C%20%ED%8F%89%ED%83%9D2%EB%A1%9C%2016%2C%203%EC%B8%B5</t>
        </is>
      </c>
      <c r="K48" s="51" t="inlineStr">
        <is>
          <t>2026-09-11</t>
        </is>
      </c>
      <c r="L48" s="178" t="inlineStr">
        <is>
          <t>@card_pt</t>
        </is>
      </c>
      <c r="M48" s="180" t="inlineStr">
        <is>
          <t>https://www.instagram.com/card_pt/</t>
        </is>
      </c>
      <c r="N48" s="180" t="inlineStr">
        <is>
          <t>https://ldb-phinf.pstatic.net/20260722_274/1784730533221tDwhJ_JPEG/IMG_0665.jpg</t>
        </is>
      </c>
      <c r="O48" s="178" t="inlineStr">
        <is>
          <t>네이버 플레이스</t>
        </is>
      </c>
      <c r="P48" s="180" t="inlineStr">
        <is>
          <t>https://scontent-icn2-1.cdninstagram.com/v/t51.82787-19/754308410_18057047807549609_2168971081021419351_n.jpg?stp=dst-jpg_s150x150_tt6&amp;_nc_cat=102&amp;ccb=7-5&amp;_nc_sid=f7ccc5&amp;efg=eyJ2ZW5jb2RlX3RhZyI6InByb2ZpbGVfcGljLnd3dy42NTUuQzMifQ%3D%3D&amp;_nc_ohc=ZgWaz_UzS0cQ7kNvwEB9WNN&amp;_nc_oc=AdoMLY63jzXbvwywCIy-WbIKbWxZI-vifIJBUXqRCaj75oLD0LeW5q78mygPFKUKFZg&amp;_nc_zt=24&amp;_nc_ht=scontent-icn2-1.cdninstagram.com&amp;_nc_gid=qAuDgL3DTjL0DOHE2PMRUA&amp;_nc_ss=7fa02&amp;oh=00_AQIDhczAAczTiKZxbvRSeHGP26VVjnHti21M5cxttfT24w&amp;oe=6AA98C7D</t>
        </is>
      </c>
      <c r="Q48" s="178" t="n"/>
      <c r="R48" s="180" t="inlineStr">
        <is>
          <t>https://m.place.naver.com/place/1045652104/home</t>
        </is>
      </c>
      <c r="S48" s="179" t="inlineStr">
        <is>
          <t>상호·주소(평택2로 16 3층) 정확 일치</t>
        </is>
      </c>
    </row>
    <row r="49" ht="48" customHeight="1">
      <c r="A49" s="98" t="inlineStr">
        <is>
          <t>경기도</t>
        </is>
      </c>
      <c r="B49" s="99" t="inlineStr">
        <is>
          <t>02</t>
        </is>
      </c>
      <c r="C49" s="99" t="inlineStr">
        <is>
          <t>평택</t>
        </is>
      </c>
      <c r="D49" s="99" t="n">
        <v>6</v>
      </c>
      <c r="E49" s="50" t="inlineStr">
        <is>
          <t>하비베이스</t>
        </is>
      </c>
      <c r="F49" s="50" t="inlineStr">
        <is>
          <t>010-3036-6633</t>
        </is>
      </c>
      <c r="G49" s="50" t="inlineStr">
        <is>
          <t>경기 평택시 팽성읍 안정순환로138번길 72, 로얄빌딩 3층</t>
        </is>
      </c>
      <c r="H49" s="50" t="str"/>
      <c r="I49" s="50" t="inlineStr">
        <is>
          <t>원피스 카드게임 공식 이벤트 개최 이력이 확인되는 지역 TCG 매장으로 카드 판매와 대회·교류 중심의 플레이 공간입니다.</t>
        </is>
      </c>
      <c r="J49" s="50" t="inlineStr">
        <is>
          <t>https://www.google.com/maps/search/?api=1&amp;query=%ED%95%98%EB%B9%84%EB%B2%A0%EC%9D%B4%EC%8A%A4%20%EA%B2%BD%EA%B8%B0%20%ED%8F%89%ED%83%9D%EC%8B%9C%20%ED%8C%BD%EC%84%B1%EC%9D%8D%20%EC%95%88%EC%A0%95%EC%88%9C%ED%99%98%EB%A1%9C138%EB%B2%88%EA%B8%B8%2072%2C%20%EB%A1%9C%EC%96%84%EB%B9%8C%EB%94%A9%203%EC%B8%B5</t>
        </is>
      </c>
      <c r="K49" s="51" t="inlineStr">
        <is>
          <t>2026-09-11</t>
        </is>
      </c>
      <c r="L49" s="178" t="inlineStr">
        <is>
          <t>없음</t>
        </is>
      </c>
      <c r="M49" s="178" t="n"/>
      <c r="N49" s="178" t="n"/>
      <c r="O49" s="178" t="n"/>
      <c r="P49" s="178" t="n"/>
      <c r="Q49" s="178" t="n"/>
      <c r="R49" s="178" t="n"/>
      <c r="S49" s="179" t="inlineStr">
        <is>
          <t>네이버 플레이스 미매칭</t>
        </is>
      </c>
    </row>
    <row r="50" ht="48" customHeight="1">
      <c r="A50" s="98" t="inlineStr">
        <is>
          <t>경기도</t>
        </is>
      </c>
      <c r="B50" s="99" t="inlineStr">
        <is>
          <t>03</t>
        </is>
      </c>
      <c r="C50" s="99" t="inlineStr">
        <is>
          <t>수원</t>
        </is>
      </c>
      <c r="D50" s="99" t="n">
        <v>1</v>
      </c>
      <c r="E50" s="50" t="inlineStr">
        <is>
          <t>카드플래닛 수원</t>
        </is>
      </c>
      <c r="F50" s="50" t="inlineStr">
        <is>
          <t>070-8777-4264</t>
        </is>
      </c>
      <c r="G50" s="50" t="inlineStr">
        <is>
          <t>경기 수원시 영통구 청명로 73-1, 2층</t>
        </is>
      </c>
      <c r="H50" s="50" t="inlineStr">
        <is>
          <t>월 휴무 / 화~일 12:00~22:00</t>
        </is>
      </c>
      <c r="I50" s="50" t="inlineStr">
        <is>
          <t>포켓몬 공식 카드샵·이벤트와 원피스 공식 대회 이력이 함께 확인되는 멀티 TCG 매장으로 상품 구매와 플레이 이용이 가능합니다.</t>
        </is>
      </c>
      <c r="J50" s="50" t="inlineStr">
        <is>
          <t>https://gold-generation.tistory.com/149</t>
        </is>
      </c>
      <c r="K50" s="51" t="inlineStr">
        <is>
          <t>2026-09-11</t>
        </is>
      </c>
      <c r="L50" s="178" t="inlineStr">
        <is>
          <t>@suwoncardplanet</t>
        </is>
      </c>
      <c r="M50" s="180" t="inlineStr">
        <is>
          <t>https://www.instagram.com/suwoncardplanet/</t>
        </is>
      </c>
      <c r="N50" s="180" t="inlineStr">
        <is>
          <t>https://ldb-phinf.pstatic.net/20230330_298/1680145529289tJ9IU_PNG/KakaoTalk_20220801_160539602.png</t>
        </is>
      </c>
      <c r="O50" s="178" t="inlineStr">
        <is>
          <t>네이버 플레이스</t>
        </is>
      </c>
      <c r="P50" s="180" t="inlineStr">
        <is>
          <t>https://scontent-icn2-1.cdninstagram.com/v/t51.2885-19/315442935_615142147060230_208356614693345007_n.jpg?stp=dst-jpg_s150x150_tt6&amp;_nc_cat=107&amp;ccb=7-5&amp;_nc_sid=f7ccc5&amp;efg=eyJ2ZW5jb2RlX3RhZyI6InByb2ZpbGVfcGljLnd3dy4xMDgwLkMzIn0%3D&amp;_nc_ohc=mwMCPcnukbsQ7kNvwHH0lNn&amp;_nc_oc=AdpaLgxE2tKDtUhrhFGjLQwIqQfRHJrCaiWVFgBAZef4_-tEuz8tyF6dFfdjNKE4WM8&amp;_nc_zt=24&amp;_nc_ht=scontent-icn2-1.cdninstagram.com&amp;_nc_ss=7fa02&amp;oh=00_AQLYT-m7dEs08vsaI39_eLBnvVbFkZnrmP1-NOlfLOgELw&amp;oe=6AAA10E2</t>
        </is>
      </c>
      <c r="Q50" s="178" t="n"/>
      <c r="R50" s="180" t="inlineStr">
        <is>
          <t>https://m.place.naver.com/place/1755165875/home</t>
        </is>
      </c>
      <c r="S50" s="179" t="inlineStr">
        <is>
          <t>주소 완전 일치 확인</t>
        </is>
      </c>
    </row>
    <row r="51" ht="48" customHeight="1">
      <c r="A51" s="98" t="inlineStr">
        <is>
          <t>경기도</t>
        </is>
      </c>
      <c r="B51" s="99" t="inlineStr">
        <is>
          <t>03</t>
        </is>
      </c>
      <c r="C51" s="99" t="inlineStr">
        <is>
          <t>수원</t>
        </is>
      </c>
      <c r="D51" s="99" t="n">
        <v>2</v>
      </c>
      <c r="E51" s="50" t="inlineStr">
        <is>
          <t>티씨지 트레이서즈 수원</t>
        </is>
      </c>
      <c r="F51" s="50" t="inlineStr">
        <is>
          <t>010-8833-3354</t>
        </is>
      </c>
      <c r="G51" s="50" t="inlineStr">
        <is>
          <t>경기 수원시 장안구 파장로 1, 윤중빌딩 4층</t>
        </is>
      </c>
      <c r="H51" s="50" t="inlineStr">
        <is>
          <t>화~금 13:00~21:00 / 토·일 12:00~21:00</t>
        </is>
      </c>
      <c r="I51" s="50" t="inlineStr">
        <is>
          <t>원피스 카드게임 공식 이벤트 개최 이력이 확인되는 지역 TCG 매장으로 카드 판매와 대회·교류 중심의 플레이 공간입니다.</t>
        </is>
      </c>
      <c r="J51" s="50" t="inlineStr">
        <is>
          <t>https://www.google.com/maps/search/?api=1&amp;query=%ED%8B%B0%EC%94%A8%EC%A7%80%20%ED%8A%B8%EB%A0%88%EC%9D%B4%EC%84%9C%EC%A6%88%20%EC%88%98%EC%9B%90%20%EA%B2%BD%EA%B8%B0%20%EC%88%98%EC%9B%90%EC%8B%9C%20%EC%9E%A5%EC%95%88%EA%B5%AC%20%ED%8C%8C%EC%9E%A5%EB%A1%9C%201%2C%20%EC%9C%A4%EC%A4%91%EB%B9%8C%EB%94%A9%204%EC%B8%B5</t>
        </is>
      </c>
      <c r="K51" s="51" t="inlineStr">
        <is>
          <t>2026-09-11</t>
        </is>
      </c>
      <c r="L51" s="178" t="inlineStr">
        <is>
          <t>없음</t>
        </is>
      </c>
      <c r="M51" s="178" t="n"/>
      <c r="N51" s="178" t="n"/>
      <c r="O51" s="178" t="n"/>
      <c r="P51" s="178" t="n"/>
      <c r="Q51" s="178" t="n"/>
      <c r="R51" s="178" t="n"/>
      <c r="S51" s="179" t="inlineStr">
        <is>
          <t>네이버 플레이스 미매칭</t>
        </is>
      </c>
    </row>
    <row r="52" ht="48" customHeight="1">
      <c r="A52" s="98" t="inlineStr">
        <is>
          <t>경기도</t>
        </is>
      </c>
      <c r="B52" s="99" t="inlineStr">
        <is>
          <t>04</t>
        </is>
      </c>
      <c r="C52" s="99" t="inlineStr">
        <is>
          <t>부천</t>
        </is>
      </c>
      <c r="D52" s="99" t="n">
        <v>1</v>
      </c>
      <c r="E52" s="50" t="inlineStr">
        <is>
          <t>리프레시</t>
        </is>
      </c>
      <c r="F52" s="50" t="inlineStr">
        <is>
          <t>070-8656-3452</t>
        </is>
      </c>
      <c r="G52" s="50" t="inlineStr">
        <is>
          <t>경기 부천시 원미구 상일로94번길 35, 2층 203호</t>
        </is>
      </c>
      <c r="H52" s="50" t="str"/>
      <c r="I52" s="50" t="inlineStr">
        <is>
          <t>원피스 카드게임 공식 이벤트 개최 이력이 확인되는 지역 TCG 매장으로 카드 판매와 대회·교류 중심의 플레이 공간입니다.</t>
        </is>
      </c>
      <c r="J52" s="50" t="inlineStr">
        <is>
          <t>https://www.google.com/maps/search/?api=1&amp;query=%EB%A6%AC%ED%94%84%EB%A0%88%EC%8B%9C%20%EA%B2%BD%EA%B8%B0%20%EB%B6%80%EC%B2%9C%EC%8B%9C%20%EC%9B%90%EB%AF%B8%EA%B5%AC%20%EC%83%81%EC%9D%BC%EB%A1%9C94%EB%B2%88%EA%B8%B8%2035%2C%202%EC%B8%B5%20203%ED%98%B8</t>
        </is>
      </c>
      <c r="K52" s="51" t="inlineStr">
        <is>
          <t>2026-09-11</t>
        </is>
      </c>
      <c r="L52" s="178" t="inlineStr">
        <is>
          <t>없음</t>
        </is>
      </c>
      <c r="M52" s="178" t="n"/>
      <c r="N52" s="180" t="inlineStr">
        <is>
          <t>https://ldb-phinf.pstatic.net/20250610_171/1749487326306Wuzw0_PNG/%BD%BA%C5%A9%B8%B0%BC%A6_2025-05-21_161131.png</t>
        </is>
      </c>
      <c r="O52" s="178" t="inlineStr">
        <is>
          <t>네이버 플레이스</t>
        </is>
      </c>
      <c r="P52" s="178" t="n"/>
      <c r="Q52" s="178" t="n"/>
      <c r="R52" s="180" t="inlineStr">
        <is>
          <t>https://m.place.naver.com/place/2066110638/home</t>
        </is>
      </c>
      <c r="S52" s="179" t="inlineStr">
        <is>
          <t>기각: refresh.objet:거제웜아트/리프레시오브제 — 거제 공방 계정, 부천 리프레시와 지역·업종 불일치, refresh_yoga_pilates:unrelated (요가 필라테스), 이름상 명백히 무관하여 미조회</t>
        </is>
      </c>
    </row>
    <row r="53" ht="48" customHeight="1">
      <c r="A53" s="98" t="inlineStr">
        <is>
          <t>경기도</t>
        </is>
      </c>
      <c r="B53" s="99" t="inlineStr">
        <is>
          <t>04</t>
        </is>
      </c>
      <c r="C53" s="99" t="inlineStr">
        <is>
          <t>부천</t>
        </is>
      </c>
      <c r="D53" s="99" t="n">
        <v>2</v>
      </c>
      <c r="E53" s="50" t="inlineStr">
        <is>
          <t>역곡 스카이 스크레이퍼</t>
        </is>
      </c>
      <c r="F53" s="50" t="inlineStr">
        <is>
          <t>010-3011-6133</t>
        </is>
      </c>
      <c r="G53" s="50" t="inlineStr">
        <is>
          <t>경기 부천시 부일로 705, 501호</t>
        </is>
      </c>
      <c r="H53" s="50" t="str"/>
      <c r="I53" s="50" t="inlineStr">
        <is>
          <t>원피스 카드게임 공식 이벤트 개최 이력이 확인되는 지역 TCG 매장으로 카드 판매와 대회·교류 중심의 플레이 공간입니다.</t>
        </is>
      </c>
      <c r="J53" s="50" t="inlineStr">
        <is>
          <t>https://www.google.com/maps/search/?api=1&amp;query=%EC%97%AD%EA%B3%A1%20%EC%8A%A4%EC%B9%B4%EC%9D%B4%20%EC%8A%A4%ED%81%AC%EB%A0%88%EC%9D%B4%ED%8D%BC%20%EA%B2%BD%EA%B8%B0%20%EB%B6%80%EC%B2%9C%EC%8B%9C%20%EB%B6%80%EC%9D%BC%EB%A1%9C%20705%2C%20501%ED%98%B8</t>
        </is>
      </c>
      <c r="K53" s="51" t="inlineStr">
        <is>
          <t>2026-09-11</t>
        </is>
      </c>
      <c r="L53" s="178" t="inlineStr">
        <is>
          <t>없음</t>
        </is>
      </c>
      <c r="M53" s="178" t="n"/>
      <c r="N53" s="180" t="inlineStr">
        <is>
          <t>https://ldb-phinf.pstatic.net/20231022_249/1697955600989uCmUQ_JPEG/1697955595359.jpg</t>
        </is>
      </c>
      <c r="O53" s="178" t="inlineStr">
        <is>
          <t>네이버 플레이스</t>
        </is>
      </c>
      <c r="P53" s="178" t="n"/>
      <c r="Q53" s="178" t="n"/>
      <c r="R53" s="180" t="inlineStr">
        <is>
          <t>https://m.place.naver.com/place/1160812836/home</t>
        </is>
      </c>
      <c r="S53" s="179" t="n"/>
    </row>
    <row r="54" ht="48" customHeight="1">
      <c r="A54" s="98" t="inlineStr">
        <is>
          <t>경기도</t>
        </is>
      </c>
      <c r="B54" s="99" t="inlineStr">
        <is>
          <t>04</t>
        </is>
      </c>
      <c r="C54" s="99" t="inlineStr">
        <is>
          <t>부천</t>
        </is>
      </c>
      <c r="D54" s="99" t="n">
        <v>3</v>
      </c>
      <c r="E54" s="50" t="inlineStr">
        <is>
          <t>하비게임몰</t>
        </is>
      </c>
      <c r="F54" s="50" t="inlineStr">
        <is>
          <t>010-4882-3911</t>
        </is>
      </c>
      <c r="G54" s="50" t="inlineStr">
        <is>
          <t>경기 부천시 중동로254번길 104, 호정프라자 604호</t>
        </is>
      </c>
      <c r="H54" s="50" t="inlineStr">
        <is>
          <t>월·수~금 10:00~23:00 / 화 14:00~23:00 / 토·일 13:00~23:00</t>
        </is>
      </c>
      <c r="I54" s="50" t="inlineStr">
        <is>
          <t>원피스 카드게임 공식 이벤트 개최 이력이 확인되는 지역 TCG 매장으로 카드 판매와 대회·교류 중심의 플레이 공간입니다.</t>
        </is>
      </c>
      <c r="J54" s="50" t="inlineStr">
        <is>
          <t>https://www.google.com/maps/search/?api=1&amp;query=%ED%95%98%EB%B9%84%EA%B2%8C%EC%9E%84%EB%AA%B0%20%EA%B2%BD%EA%B8%B0%20%EB%B6%80%EC%B2%9C%EC%8B%9C%20%EC%A4%91%EB%8F%99%EB%A1%9C254%EB%B2%88%EA%B8%B8%20104%2C%20%ED%98%B8%EC%A0%95%ED%94%84%EB%9D%BC%EC%9E%90%20604%ED%98%B8</t>
        </is>
      </c>
      <c r="K54" s="51" t="inlineStr">
        <is>
          <t>2026-09-11</t>
        </is>
      </c>
      <c r="L54" s="178" t="inlineStr">
        <is>
          <t>@hobbygamemall</t>
        </is>
      </c>
      <c r="M54" s="180" t="inlineStr">
        <is>
          <t>https://www.instagram.com/hobbygamemall/</t>
        </is>
      </c>
      <c r="N54" s="180" t="inlineStr">
        <is>
          <t>https://ldb-phinf.pstatic.net/20190101_44/1546348655695F6wFp_JPEG/_EFB0INGplDRQeQa8rcb84Kz.JPG.jpg</t>
        </is>
      </c>
      <c r="O54" s="178" t="inlineStr">
        <is>
          <t>네이버 플레이스</t>
        </is>
      </c>
      <c r="P54" s="180" t="inlineStr">
        <is>
          <t>https://scontent-icn2-1.cdninstagram.com/v/t51.2885-19/47690002_307027629931125_5324351840228212736_n.jpg?stp=dst-jpg_s150x150_tt6&amp;_nc_cat=105&amp;ccb=7-5&amp;_nc_sid=f7ccc5&amp;efg=eyJ2ZW5jb2RlX3RhZyI6InByb2ZpbGVfcGljLnd3dy42NDAuQzMifQ%3D%3D&amp;_nc_ohc=7vPn5ityCj4Q7kNvwE5VFhY&amp;_nc_oc=AddrZ5kwMlH_qDS_3_TiRchgWqxlK4YXAAxqgf9yU-CivBL56XXt0NpzB-KX2KThWyXc&amp;_nc_zt=24&amp;_nc_ht=scontent-icn2-1.cdninstagram.com&amp;_nc_ss=7fa02&amp;oh=00_AQJahwTpOhRxqrYkzbJ7izLK59tIkrO2rk_XLJVPgHrjUw&amp;oe=6AA99042</t>
        </is>
      </c>
      <c r="Q54" s="178" t="n"/>
      <c r="R54" s="180" t="inlineStr">
        <is>
          <t>https://m.place.naver.com/place/36849167/home</t>
        </is>
      </c>
      <c r="S54" s="179" t="inlineStr">
        <is>
          <t>brand account (하비게임몰 본사 계정, row39와 동일 계정)</t>
        </is>
      </c>
    </row>
    <row r="55" ht="48" customHeight="1">
      <c r="A55" s="98" t="inlineStr">
        <is>
          <t>경기도</t>
        </is>
      </c>
      <c r="B55" s="99" t="inlineStr">
        <is>
          <t>05</t>
        </is>
      </c>
      <c r="C55" s="99" t="inlineStr">
        <is>
          <t>안양·평촌</t>
        </is>
      </c>
      <c r="D55" s="99" t="n">
        <v>1</v>
      </c>
      <c r="E55" s="50" t="inlineStr">
        <is>
          <t>트레이너스</t>
        </is>
      </c>
      <c r="F55" s="50" t="inlineStr">
        <is>
          <t>070-8899-2030</t>
        </is>
      </c>
      <c r="G55" s="50" t="inlineStr">
        <is>
          <t>경기 안양시 동안구 평촌대로217번길 15, 3층 302호</t>
        </is>
      </c>
      <c r="H55" s="50" t="inlineStr">
        <is>
          <t>월~토 12:00~22:00 / 일 12:00~21:00</t>
        </is>
      </c>
      <c r="I55" s="50" t="inlineStr">
        <is>
          <t>원피스 카드게임 공식 이벤트 개최 이력이 확인되는 지역 TCG 매장으로 카드 판매와 대회·교류 중심의 플레이 공간입니다.</t>
        </is>
      </c>
      <c r="J55" s="50" t="inlineStr">
        <is>
          <t>https://www.google.com/maps/search/?api=1&amp;query=%ED%8A%B8%EB%A0%88%EC%9D%B4%EB%84%88%EC%8A%A4%20%EA%B2%BD%EA%B8%B0%20%EC%95%88%EC%96%91%EC%8B%9C%20%EB%8F%99%EC%95%88%EA%B5%AC%20%ED%8F%89%EC%B4%8C%EB%8C%80%EB%A1%9C217%EB%B2%88%EA%B8%B8%2015%2C%203%EC%B8%B5%20302%ED%98%B8</t>
        </is>
      </c>
      <c r="K55" s="51" t="inlineStr">
        <is>
          <t>2026-09-11</t>
        </is>
      </c>
      <c r="L55" s="178" t="inlineStr">
        <is>
          <t>@lab.trainers</t>
        </is>
      </c>
      <c r="M55" s="180" t="inlineStr">
        <is>
          <t>https://www.instagram.com/lab.trainers/</t>
        </is>
      </c>
      <c r="N55" s="180" t="inlineStr">
        <is>
          <t>https://ldb-phinf.pstatic.net/20230913_57/16945991556722PQLf_JPEG/%C6%AE%B7%B9%C0%CC%B3%CA%BD%BA_resize.jpg</t>
        </is>
      </c>
      <c r="O55" s="178" t="inlineStr">
        <is>
          <t>네이버 플레이스</t>
        </is>
      </c>
      <c r="P55" s="180" t="inlineStr">
        <is>
          <t>https://scontent-icn2-1.cdninstagram.com/v/t51.2885-19/370347621_771611468033519_4967472333383283159_n.jpg?stp=dst-jpg_s150x150_tt6&amp;_nc_cat=105&amp;ccb=7-5&amp;_nc_sid=f7ccc5&amp;efg=eyJ2ZW5jb2RlX3RhZyI6InByb2ZpbGVfcGljLnd3dy4xMDgwLkMzIn0%3D&amp;_nc_ohc=-572JV8Ske0Q7kNvwGD-AiX&amp;_nc_oc=Ado5AjP2ja4WNzh-6U-I1eThUE6JS9sx1wCXGKwkxRXdV5-91mW9Rw3uWmVrwfsVF30&amp;_nc_zt=24&amp;_nc_ht=scontent-icn2-1.cdninstagram.com&amp;_nc_ss=7fa02&amp;oh=00_AQKwGPPAzHJpbYK9j0EcQXTE5pxBDWqPA0tFy6NaqiBJnA&amp;oe=6AA9AF3C</t>
        </is>
      </c>
      <c r="Q55" s="178" t="inlineStr">
        <is>
          <t>@trainers_card</t>
        </is>
      </c>
      <c r="R55" s="180" t="inlineStr">
        <is>
          <t>https://m.place.naver.com/place/1334699097/home</t>
        </is>
      </c>
      <c r="S55" s="179" t="inlineStr">
        <is>
          <t>이름 정확 일치 (TRAINERS)</t>
        </is>
      </c>
    </row>
    <row r="56" ht="48" customHeight="1">
      <c r="A56" s="98" t="inlineStr">
        <is>
          <t>경기도</t>
        </is>
      </c>
      <c r="B56" s="99" t="inlineStr">
        <is>
          <t>06</t>
        </is>
      </c>
      <c r="C56" s="99" t="inlineStr">
        <is>
          <t>고양·일산</t>
        </is>
      </c>
      <c r="D56" s="99" t="n">
        <v>1</v>
      </c>
      <c r="E56" s="50" t="inlineStr">
        <is>
          <t>일산 듀얼팩토리</t>
        </is>
      </c>
      <c r="F56" s="50" t="inlineStr">
        <is>
          <t>010-5105-2961</t>
        </is>
      </c>
      <c r="G56" s="50" t="inlineStr">
        <is>
          <t>경기 고양시 일산동구 백석동 1209-3, 지하 1층</t>
        </is>
      </c>
      <c r="H56" s="50" t="str"/>
      <c r="I56" s="50" t="inlineStr">
        <is>
          <t>원피스 카드게임 공식 이벤트 개최 이력이 확인되는 지역 TCG 매장으로 카드 판매와 대회·교류 중심의 플레이 공간입니다.</t>
        </is>
      </c>
      <c r="J56" s="50" t="inlineStr">
        <is>
          <t>https://www.google.com/maps/search/?api=1&amp;query=%EC%9D%BC%EC%82%B0%20%EB%93%80%EC%96%BC%ED%8C%A9%ED%86%A0%EB%A6%AC%20%EA%B2%BD%EA%B8%B0%20%EA%B3%A0%EC%96%91%EC%8B%9C%20%EC%9D%BC%EC%82%B0%EB%8F%99%EA%B5%AC%20%EB%B0%B1%EC%84%9D%EB%8F%99%201209-3%2C%20%EC%A7%80%ED%95%98%201%EC%B8%B5</t>
        </is>
      </c>
      <c r="K56" s="51" t="inlineStr">
        <is>
          <t>2026-09-11</t>
        </is>
      </c>
      <c r="L56" s="178" t="inlineStr">
        <is>
          <t>없음</t>
        </is>
      </c>
      <c r="M56" s="178" t="n"/>
      <c r="N56" s="178" t="n"/>
      <c r="O56" s="178" t="n"/>
      <c r="P56" s="178" t="n"/>
      <c r="Q56" s="178" t="n"/>
      <c r="R56" s="180" t="inlineStr">
        <is>
          <t>https://m.place.naver.com/place/31368045/home</t>
        </is>
      </c>
      <c r="S56" s="179" t="n"/>
    </row>
    <row r="57" ht="48" customHeight="1">
      <c r="A57" s="98" t="inlineStr">
        <is>
          <t>경기도</t>
        </is>
      </c>
      <c r="B57" s="99" t="inlineStr">
        <is>
          <t>07</t>
        </is>
      </c>
      <c r="C57" s="99" t="inlineStr">
        <is>
          <t>안산</t>
        </is>
      </c>
      <c r="D57" s="99" t="n">
        <v>1</v>
      </c>
      <c r="E57" s="50" t="inlineStr">
        <is>
          <t>라스 (LAS) TCG</t>
        </is>
      </c>
      <c r="F57" s="50" t="inlineStr">
        <is>
          <t>031-410-9219</t>
        </is>
      </c>
      <c r="G57" s="50" t="inlineStr">
        <is>
          <t>경기 안산시 단원구 중앙대로 907, 2동 3층 302호</t>
        </is>
      </c>
      <c r="H57" s="50" t="str"/>
      <c r="I57" s="50" t="inlineStr">
        <is>
          <t>원피스 카드게임 공식 이벤트 개최 이력이 확인되는 지역 TCG 매장으로 카드 판매와 대회·교류 중심의 플레이 공간입니다.</t>
        </is>
      </c>
      <c r="J57" s="50" t="inlineStr">
        <is>
          <t>https://www.google.com/maps/search/?api=1&amp;query=%EB%9D%BC%EC%8A%A4%20%28LAS%29%20TCG%20%EA%B2%BD%EA%B8%B0%20%EC%95%88%EC%82%B0%EC%8B%9C%20%EB%8B%A8%EC%9B%90%EA%B5%AC%20%EC%A4%91%EC%95%99%EB%8C%80%EB%A1%9C%20907%2C%202%EB%8F%99%203%EC%B8%B5%20302%ED%98%B8</t>
        </is>
      </c>
      <c r="K57" s="51" t="inlineStr">
        <is>
          <t>2026-09-11</t>
        </is>
      </c>
      <c r="L57" s="178" t="inlineStr">
        <is>
          <t>@lastcg_77</t>
        </is>
      </c>
      <c r="M57" s="180" t="inlineStr">
        <is>
          <t>https://www.instagram.com/lastcg_77/</t>
        </is>
      </c>
      <c r="N57" s="180" t="inlineStr">
        <is>
          <t>https://ldb-phinf.pstatic.net/20250524_271/1748095401662LSJla_PNG/LASTCG_%B7%CE%B0%ED.png</t>
        </is>
      </c>
      <c r="O57" s="178" t="inlineStr">
        <is>
          <t>네이버 플레이스</t>
        </is>
      </c>
      <c r="P57" s="180" t="inlineStr">
        <is>
          <t>https://scontent-icn2-1.cdninstagram.com/v/t51.75761-19/500660834_17842894260498766_2160467018666440374_n.jpg?stp=dst-jpg_s150x150_tt6&amp;_nc_cat=103&amp;ccb=7-5&amp;_nc_sid=f7ccc5&amp;efg=eyJ2ZW5jb2RlX3RhZyI6InByb2ZpbGVfcGljLnd3dy41MDAuQzMifQ%3D%3D&amp;_nc_ohc=cL0BuimB33gQ7kNvwFD39Bw&amp;_nc_oc=Adoi9hddj7h3pCEnbPqoqCAS67P4oWO4PGQ0AoK5O1qjx9uHqGKdUUtxGW3MyX3uWOc&amp;_nc_zt=24&amp;_nc_ht=scontent-icn2-1.cdninstagram.com&amp;_nc_gid=lYAEH6S3a8bNcfIAYgGjbw&amp;_nc_ss=7fa02&amp;oh=00_AQLwCczsDztiusrGlXcc4lCOJD4Bxsz6-2E4GqJjc1Kp8A&amp;oe=6AA992BB</t>
        </is>
      </c>
      <c r="Q57" s="178" t="n"/>
      <c r="R57" s="180" t="inlineStr">
        <is>
          <t>https://m.place.naver.com/place/2071207043/home</t>
        </is>
      </c>
      <c r="S57" s="179" t="inlineStr">
        <is>
          <t>display name LAS TCG matches shop name</t>
        </is>
      </c>
    </row>
    <row r="58" ht="48" customHeight="1">
      <c r="A58" s="98" t="inlineStr">
        <is>
          <t>경기도</t>
        </is>
      </c>
      <c r="B58" s="99" t="inlineStr">
        <is>
          <t>08</t>
        </is>
      </c>
      <c r="C58" s="99" t="inlineStr">
        <is>
          <t>군포</t>
        </is>
      </c>
      <c r="D58" s="99" t="n">
        <v>1</v>
      </c>
      <c r="E58" s="50" t="inlineStr">
        <is>
          <t>금정 배틀시티</t>
        </is>
      </c>
      <c r="F58" s="50" t="inlineStr">
        <is>
          <t>070-8186-2199</t>
        </is>
      </c>
      <c r="G58" s="50" t="inlineStr">
        <is>
          <t>경기 군포시 산본천로199번길 5, 3층</t>
        </is>
      </c>
      <c r="H58" s="50" t="str"/>
      <c r="I58" s="50" t="inlineStr">
        <is>
          <t>원피스 카드게임 공식 이벤트 개최 이력이 확인되는 지역 TCG 매장으로 카드 판매와 대회·교류 중심의 플레이 공간입니다.</t>
        </is>
      </c>
      <c r="J58" s="50" t="inlineStr">
        <is>
          <t>https://www.google.com/maps/search/?api=1&amp;query=%EA%B8%88%EC%A0%95%20%EB%B0%B0%ED%8B%80%EC%8B%9C%ED%8B%B0%20%EA%B2%BD%EA%B8%B0%20%EA%B5%B0%ED%8F%AC%EC%8B%9C%20%EC%82%B0%EB%B3%B8%EC%B2%9C%EB%A1%9C199%EB%B2%88%EA%B8%B8%205%2C%203%EC%B8%B5</t>
        </is>
      </c>
      <c r="K58" s="51" t="inlineStr">
        <is>
          <t>2026-09-11</t>
        </is>
      </c>
      <c r="L58" s="178" t="inlineStr">
        <is>
          <t>없음</t>
        </is>
      </c>
      <c r="M58" s="178" t="n"/>
      <c r="N58" s="178" t="n"/>
      <c r="O58" s="178" t="n"/>
      <c r="P58" s="178" t="n"/>
      <c r="Q58" s="178" t="n"/>
      <c r="R58" s="178" t="n"/>
      <c r="S58" s="179" t="inlineStr">
        <is>
          <t>네이버 플레이스 미매칭</t>
        </is>
      </c>
    </row>
    <row r="59" ht="48" customHeight="1">
      <c r="A59" s="98" t="inlineStr">
        <is>
          <t>경기도</t>
        </is>
      </c>
      <c r="B59" s="99" t="inlineStr">
        <is>
          <t>09</t>
        </is>
      </c>
      <c r="C59" s="99" t="inlineStr">
        <is>
          <t>구리</t>
        </is>
      </c>
      <c r="D59" s="99" t="n">
        <v>1</v>
      </c>
      <c r="E59" s="50" t="inlineStr">
        <is>
          <t>TCG 라인 구리</t>
        </is>
      </c>
      <c r="F59" s="50" t="inlineStr">
        <is>
          <t>공개 대표번호 미확인</t>
        </is>
      </c>
      <c r="G59" s="50" t="inlineStr">
        <is>
          <t>경기 구리시 장자대로86번길 32, 2층</t>
        </is>
      </c>
      <c r="H59" s="50" t="str"/>
      <c r="I59" s="50" t="inlineStr">
        <is>
          <t>포켓몬코리아 공식 카드샵·이벤트 정보에서 확인되는 매장으로 포켓몬 TCG 상품과 토너먼트·플레이 이용이 가능한 곳입니다.</t>
        </is>
      </c>
      <c r="J59" s="50" t="inlineStr">
        <is>
          <t>https://www.google.com/maps/search/?api=1&amp;query=TCG%20%EB%9D%BC%EC%9D%B8%20%EA%B5%AC%EB%A6%AC%20%EA%B2%BD%EA%B8%B0%20%EA%B5%AC%EB%A6%AC%EC%8B%9C%20%EC%9E%A5%EC%9E%90%EB%8C%80%EB%A1%9C86%EB%B2%88%EA%B8%B8%2032%2C%202%EC%B8%B5</t>
        </is>
      </c>
      <c r="K59" s="51" t="inlineStr">
        <is>
          <t>2026-09-11</t>
        </is>
      </c>
      <c r="L59" s="178" t="inlineStr">
        <is>
          <t>@tcg_line</t>
        </is>
      </c>
      <c r="M59" s="180" t="inlineStr">
        <is>
          <t>https://www.instagram.com/tcg_line/</t>
        </is>
      </c>
      <c r="N59" s="180" t="inlineStr">
        <is>
          <t>https://ldb-phinf.pstatic.net/20260903_123/1788424763465JVIOt_JPEG/00.jpg</t>
        </is>
      </c>
      <c r="O59" s="178" t="inlineStr">
        <is>
          <t>네이버 플레이스</t>
        </is>
      </c>
      <c r="P59" s="180" t="inlineStr">
        <is>
          <t>https://scontent-icn2-1.cdninstagram.com/v/t51.82787-19/779816676_18087141674328884_6323978719720261937_n.jpg?stp=dst-jpg_s150x150_tt6&amp;_nc_cat=104&amp;ccb=7-5&amp;_nc_sid=f7ccc5&amp;efg=eyJ2ZW5jb2RlX3RhZyI6InByb2ZpbGVfcGljLnd3dy40ODAuQzMifQ%3D%3D&amp;_nc_ohc=b8l8m5YYFmkQ7kNvwGDeysV&amp;_nc_oc=AdoeAd5SE1SfxkqxjaFRfoSi2m0_HJ79szdzTeTcNF2ZcRqSEQNZe7wfoGHHjuGxNKk&amp;_nc_zt=24&amp;_nc_ht=scontent-icn2-1.cdninstagram.com&amp;_nc_gid=wQ8JfWjcNxFJZVHjrUaejA&amp;_nc_ss=7fa02&amp;oh=00_AQLovb_PABUPghUD-Tx3TG0T5glA35kfXPeEGJNSeK0Gtw&amp;oe=6AA997F9</t>
        </is>
      </c>
      <c r="Q59" s="178" t="n"/>
      <c r="R59" s="180" t="inlineStr">
        <is>
          <t>https://m.place.naver.com/place/2045368588/home</t>
        </is>
      </c>
      <c r="S59" s="179" t="inlineStr">
        <is>
          <t>bio has exact address match</t>
        </is>
      </c>
    </row>
    <row r="60" ht="48" customHeight="1">
      <c r="A60" s="98" t="inlineStr">
        <is>
          <t>경기도</t>
        </is>
      </c>
      <c r="B60" s="99" t="inlineStr">
        <is>
          <t>10</t>
        </is>
      </c>
      <c r="C60" s="99" t="inlineStr">
        <is>
          <t>이천</t>
        </is>
      </c>
      <c r="D60" s="99" t="n">
        <v>1</v>
      </c>
      <c r="E60" s="50" t="inlineStr">
        <is>
          <t>정무샵</t>
        </is>
      </c>
      <c r="F60" s="50" t="inlineStr">
        <is>
          <t>공개 대표번호 미확인</t>
        </is>
      </c>
      <c r="G60" s="50" t="inlineStr">
        <is>
          <t>경기 이천시 중리천로14번길 25-12, 2층</t>
        </is>
      </c>
      <c r="H60" s="50" t="str"/>
      <c r="I60" s="50" t="inlineStr">
        <is>
          <t>원피스 카드게임 공식 이벤트 개최 이력이 확인되는 지역 TCG 매장으로 카드 판매와 대회·교류 중심의 플레이 공간입니다.</t>
        </is>
      </c>
      <c r="J60" s="50" t="inlineStr">
        <is>
          <t>https://www.google.com/maps/search/?api=1&amp;query=%EC%A0%95%EB%AC%B4%EC%83%B5%20%EA%B2%BD%EA%B8%B0%20%EC%9D%B4%EC%B2%9C%EC%8B%9C%20%EC%A4%91%EB%A6%AC%EC%B2%9C%EB%A1%9C14%EB%B2%88%EA%B8%B8%2025-12%2C%202%EC%B8%B5</t>
        </is>
      </c>
      <c r="K60" s="51" t="inlineStr">
        <is>
          <t>2026-09-11</t>
        </is>
      </c>
      <c r="L60" s="178" t="inlineStr">
        <is>
          <t>없음</t>
        </is>
      </c>
      <c r="M60" s="178" t="n"/>
      <c r="N60" s="180" t="inlineStr">
        <is>
          <t>https://ldb-phinf.pstatic.net/20240508_257/1715152963466EXm1t_PNG/KakaoTalk_20240415_035409.png</t>
        </is>
      </c>
      <c r="O60" s="178" t="inlineStr">
        <is>
          <t>네이버 플레이스</t>
        </is>
      </c>
      <c r="P60" s="178" t="n"/>
      <c r="Q60" s="178" t="n"/>
      <c r="R60" s="180" t="inlineStr">
        <is>
          <t>https://m.place.naver.com/place/1029984732/home</t>
        </is>
      </c>
      <c r="S60" s="179" t="n"/>
    </row>
    <row r="61" ht="48" customHeight="1">
      <c r="A61" s="98" t="inlineStr">
        <is>
          <t>경기도</t>
        </is>
      </c>
      <c r="B61" s="99" t="inlineStr">
        <is>
          <t>11</t>
        </is>
      </c>
      <c r="C61" s="99" t="inlineStr">
        <is>
          <t>화성·동탄</t>
        </is>
      </c>
      <c r="D61" s="99" t="n">
        <v>1</v>
      </c>
      <c r="E61" s="50" t="inlineStr">
        <is>
          <t>카드메이트</t>
        </is>
      </c>
      <c r="F61" s="50" t="inlineStr">
        <is>
          <t>070-4647-1633</t>
        </is>
      </c>
      <c r="G61" s="50" t="inlineStr">
        <is>
          <t>경기 화성시 동탄대로 599, 4층 402호</t>
        </is>
      </c>
      <c r="H61" s="50" t="str"/>
      <c r="I61" s="50" t="inlineStr">
        <is>
          <t>동탄 지역의 TCG 매장으로 공식 카드게임 매장 목록에 등록되어 제품 구매와 플레이 이용이 가능한 카드샵.</t>
        </is>
      </c>
      <c r="J61" s="50" t="inlineStr">
        <is>
          <t>https://www.google.com/maps/search/?api=1&amp;query=%EC%B9%B4%EB%93%9C%EB%A9%94%EC%9D%B4%ED%8A%B8%20%EA%B2%BD%EA%B8%B0%20%ED%99%94%EC%84%B1%EC%8B%9C%20%EB%8F%99%ED%83%84%EB%8C%80%EB%A1%9C%20599%2C%204%EC%B8%B5%20402%ED%98%B8</t>
        </is>
      </c>
      <c r="K61" s="51" t="inlineStr">
        <is>
          <t>2026-09-11</t>
        </is>
      </c>
      <c r="L61" s="178" t="inlineStr">
        <is>
          <t>@cardmate_korea</t>
        </is>
      </c>
      <c r="M61" s="180" t="inlineStr">
        <is>
          <t>https://www.instagram.com/cardmate_korea/</t>
        </is>
      </c>
      <c r="N61" s="180" t="inlineStr">
        <is>
          <t>https://ldb-phinf.pstatic.net/20260903_299/178844198444938uXX_JPEG/Gemini_Generated_Image_9qinaz9qinaz9qin.jpg</t>
        </is>
      </c>
      <c r="O61" s="178" t="inlineStr">
        <is>
          <t>네이버 플레이스</t>
        </is>
      </c>
      <c r="P61" s="180" t="inlineStr">
        <is>
          <t>https://scontent-icn2-1.cdninstagram.com/v/t51.82787-19/771453191_18138763717584919_8124476849767621457_n.jpg?stp=dst-jpg_s150x150_tt6&amp;_nc_cat=107&amp;ccb=7-5&amp;_nc_sid=f7ccc5&amp;efg=eyJ2ZW5jb2RlX3RhZyI6InByb2ZpbGVfcGljLnd3dy40MDAuQzMifQ%3D%3D&amp;_nc_ohc=ueen-nkcBO4Q7kNvwFmt1K5&amp;_nc_oc=AdoVCBBo9ewq9iaMXybOm4Yjs9NArmg-7tWawvbM_W8J1DDwYFtM9WbrjvBizLVXdSY&amp;_nc_zt=24&amp;_nc_ht=scontent-icn2-1.cdninstagram.com&amp;_nc_gid=zp8FlkzDwptNjI_Y-od8fg&amp;_nc_ss=7f60f&amp;oh=00_AQLf2lRWO3aK9nYEnMb7xbQ1EB09MVcwBtuAmRtWmHTgSg&amp;oe=6AA986A9</t>
        </is>
      </c>
      <c r="Q61" s="178" t="n"/>
      <c r="R61" s="180" t="inlineStr">
        <is>
          <t>https://m.place.naver.com/place/2097078916/home</t>
        </is>
      </c>
      <c r="S61" s="179" t="inlineStr">
        <is>
          <t>exact address match 동탄대로 599</t>
        </is>
      </c>
    </row>
    <row r="62" ht="48" customHeight="1">
      <c r="A62" s="102" t="inlineStr">
        <is>
          <t>인천광역시</t>
        </is>
      </c>
      <c r="B62" s="103" t="inlineStr">
        <is>
          <t>01</t>
        </is>
      </c>
      <c r="C62" s="103" t="inlineStr">
        <is>
          <t>남동</t>
        </is>
      </c>
      <c r="D62" s="103" t="n">
        <v>1</v>
      </c>
      <c r="E62" s="50" t="inlineStr">
        <is>
          <t>만수 듀얼존(ILT듀얼존)</t>
        </is>
      </c>
      <c r="F62" s="50" t="inlineStr">
        <is>
          <t>032-466-4088</t>
        </is>
      </c>
      <c r="G62" s="50" t="inlineStr">
        <is>
          <t>인천 남동구 백범로 173, 4층</t>
        </is>
      </c>
      <c r="H62" s="50" t="str"/>
      <c r="I62" s="50" t="inlineStr">
        <is>
          <t>원피스 카드게임 공식 이벤트 개최 이력이 확인되는 지역 TCG 매장으로 카드 판매와 대회·교류 중심의 플레이 공간입니다.</t>
        </is>
      </c>
      <c r="J62" s="50" t="inlineStr">
        <is>
          <t>https://www.google.com/maps/search/?api=1&amp;query=%EB%A7%8C%EC%88%98%20%EB%93%80%EC%96%BC%EC%A1%B4%28ILT%EB%93%80%EC%96%BC%EC%A1%B4%29%20%EC%9D%B8%EC%B2%9C%20%EB%82%A8%EB%8F%99%EA%B5%AC%20%EB%B0%B1%EB%B2%94%EB%A1%9C%20173%2C%204%EC%B8%B5</t>
        </is>
      </c>
      <c r="K62" s="51" t="inlineStr">
        <is>
          <t>2026-09-11</t>
        </is>
      </c>
      <c r="L62" s="178" t="inlineStr">
        <is>
          <t>없음</t>
        </is>
      </c>
      <c r="M62" s="178" t="n"/>
      <c r="N62" s="178" t="n"/>
      <c r="O62" s="178" t="n"/>
      <c r="P62" s="178" t="n"/>
      <c r="Q62" s="178" t="n"/>
      <c r="R62" s="180" t="inlineStr">
        <is>
          <t>https://m.place.naver.com/place/37111987/home</t>
        </is>
      </c>
      <c r="S62" s="179" t="inlineStr">
        <is>
          <t>기각: soseolwon_mansu:NOT_FOUND, mumohan_waxing:unrelated(waxing salon, skipped by name), thelifestyledietitian_:unrelated(die</t>
        </is>
      </c>
    </row>
    <row r="63" ht="48" customHeight="1">
      <c r="A63" s="102" t="inlineStr">
        <is>
          <t>인천광역시</t>
        </is>
      </c>
      <c r="B63" s="103" t="inlineStr">
        <is>
          <t>02</t>
        </is>
      </c>
      <c r="C63" s="103" t="inlineStr">
        <is>
          <t>부평</t>
        </is>
      </c>
      <c r="D63" s="103" t="n">
        <v>1</v>
      </c>
      <c r="E63" s="50" t="inlineStr">
        <is>
          <t>부평 히어로즈</t>
        </is>
      </c>
      <c r="F63" s="50" t="inlineStr">
        <is>
          <t>010-9030-8891</t>
        </is>
      </c>
      <c r="G63" s="50" t="inlineStr">
        <is>
          <t>인천 부평구 대정로 22, 2층 202호</t>
        </is>
      </c>
      <c r="H63" s="50" t="str"/>
      <c r="I63" s="50" t="inlineStr">
        <is>
          <t>원피스 카드게임 공식 이벤트 개최 이력이 확인되는 지역 TCG 매장으로 카드 판매와 대회·교류 중심의 플레이 공간입니다.</t>
        </is>
      </c>
      <c r="J63" s="50" t="inlineStr">
        <is>
          <t>https://www.google.com/maps/search/?api=1&amp;query=%EB%B6%80%ED%8F%89%20%ED%9E%88%EC%96%B4%EB%A1%9C%EC%A6%88%20%EC%9D%B8%EC%B2%9C%20%EB%B6%80%ED%8F%89%EA%B5%AC%20%EB%8C%80%EC%A0%95%EB%A1%9C%2022%2C%202%EC%B8%B5%20202%ED%98%B8</t>
        </is>
      </c>
      <c r="K63" s="51" t="inlineStr">
        <is>
          <t>2026-09-11</t>
        </is>
      </c>
      <c r="L63" s="178" t="inlineStr">
        <is>
          <t>@hero_incheon</t>
        </is>
      </c>
      <c r="M63" s="180" t="inlineStr">
        <is>
          <t>https://www.instagram.com/hero_incheon/</t>
        </is>
      </c>
      <c r="N63" s="180" t="inlineStr">
        <is>
          <t>https://scontent-icn2-1.cdninstagram.com/v/t51.2885-19/154288014_1171115076682637_9007876840583406219_n.jpg?stp=dst-jpg_s150x150_tt6&amp;_nc_cat=107&amp;ccb=7-5&amp;_nc_sid=f7ccc5&amp;efg=eyJ2ZW5jb2RlX3RhZyI6InByb2ZpbGVfcGljLnd3dy40MDAuQzMifQ%3D%3D&amp;_nc_ohc=wAXo6AK8b98Q7kNvwFruWoL&amp;_nc_oc=Ado0ssMs5d7ZO5aZMhwk5RL6Yb8dh1N_oCybyg10uUGqq0V5HkJv5j0iItsZhwSwk9U&amp;_nc_zt=24&amp;_nc_ht=scontent-icn2-1.cdninstagram.com&amp;_nc_ss=7fa02&amp;oh=00_AQKIJOLouVDRW3_51LaRpA-MQ0ujWELL_QdSLSXZonyvUg&amp;oe=6AAA165E</t>
        </is>
      </c>
      <c r="O63" s="178" t="inlineStr">
        <is>
          <t>인스타 프로필(단기 만료)</t>
        </is>
      </c>
      <c r="P63" s="178" t="n"/>
      <c r="Q63" s="178" t="n"/>
      <c r="R63" s="180" t="inlineStr">
        <is>
          <t>https://m.place.naver.com/place/2051932856/home</t>
        </is>
      </c>
      <c r="S63" s="179" t="inlineStr">
        <is>
          <t>상호(히어로즈)+부평구 지역 일치 보드게임카페, 정확 도로명주소만 시트와 다름(시장로 vs 대정로, 동일구 인근 가능성)</t>
        </is>
      </c>
    </row>
    <row r="64" ht="48" customHeight="1">
      <c r="A64" s="102" t="inlineStr">
        <is>
          <t>인천광역시</t>
        </is>
      </c>
      <c r="B64" s="103" t="inlineStr">
        <is>
          <t>02</t>
        </is>
      </c>
      <c r="C64" s="103" t="inlineStr">
        <is>
          <t>부평</t>
        </is>
      </c>
      <c r="D64" s="103" t="n">
        <v>2</v>
      </c>
      <c r="E64" s="50" t="inlineStr">
        <is>
          <t>카드팝 인천점</t>
        </is>
      </c>
      <c r="F64" s="50" t="inlineStr">
        <is>
          <t>032-221-8502</t>
        </is>
      </c>
      <c r="G64" s="50" t="inlineStr">
        <is>
          <t>인천 부평구 부평문화로66번길 21, 4층</t>
        </is>
      </c>
      <c r="H64" s="50" t="inlineStr">
        <is>
          <t>12:00~21:00 (공개 매장 정보 기준)</t>
        </is>
      </c>
      <c r="I64" s="50" t="inlineStr">
        <is>
          <t>포켓몬 공식 카드샵·이벤트와 원피스 공식 대회 이력이 함께 확인되는 멀티 TCG 매장으로 상품 구매와 플레이 이용이 가능합니다.</t>
        </is>
      </c>
      <c r="J64" s="50" t="inlineStr">
        <is>
          <t>https://www.google.com/maps/search/?api=1&amp;query=%EC%B9%B4%EB%93%9C%ED%8C%9D%20%EC%9D%B8%EC%B2%9C%EC%A0%90%20%EC%9D%B8%EC%B2%9C%20%EB%B6%80%ED%8F%89%EA%B5%AC%20%EB%B6%80%ED%8F%89%EB%AC%B8%ED%99%94%EB%A1%9C66%EB%B2%88%EA%B8%B8%2021%2C%204%EC%B8%B5</t>
        </is>
      </c>
      <c r="K64" s="51" t="inlineStr">
        <is>
          <t>2026-09-11</t>
        </is>
      </c>
      <c r="L64" s="178" t="inlineStr">
        <is>
          <t>@card_pop_tcg</t>
        </is>
      </c>
      <c r="M64" s="180" t="inlineStr">
        <is>
          <t>https://www.instagram.com/card_pop_tcg/</t>
        </is>
      </c>
      <c r="N64" s="180" t="inlineStr">
        <is>
          <t>https://ldb-phinf.pstatic.net/20230324_276/1679637980888PyG43_PNG/01_MAIN_LOGO.png</t>
        </is>
      </c>
      <c r="O64" s="178" t="inlineStr">
        <is>
          <t>네이버 플레이스</t>
        </is>
      </c>
      <c r="P64" s="180" t="inlineStr">
        <is>
          <t>https://scontent-icn2-1.cdninstagram.com/v/t51.2885-19/309069098_800997834571738_650317083911657848_n.jpg?stp=dst-jpg_s150x150_tt6&amp;_nc_cat=110&amp;ccb=7-5&amp;_nc_sid=f7ccc5&amp;efg=eyJ2ZW5jb2RlX3RhZyI6InByb2ZpbGVfcGljLnd3dy4yNDQuQzMifQ%3D%3D&amp;_nc_ohc=Zv4vqidachoQ7kNvwG1Ps25&amp;_nc_oc=AdpLvTxPR7mX9y8mns-XzA4AqnYsTT2RYKK4mQYm_VohSrxMQeGjL5S3ejdACaOCYYo&amp;_nc_zt=24&amp;_nc_ht=scontent-icn2-1.cdninstagram.com&amp;_nc_ss=7fa02&amp;oh=00_AQIOwSHXQRmrVzl46eo2N3SQJ4IkhO_NGCwefKOpHzlqzA&amp;oe=6AA9FC37</t>
        </is>
      </c>
      <c r="Q64" s="178" t="n"/>
      <c r="R64" s="180" t="inlineStr">
        <is>
          <t>https://m.place.naver.com/place/1120783123/home</t>
        </is>
      </c>
      <c r="S64" s="179" t="inlineStr">
        <is>
          <t>계정명(Card_POP)·핸들 내 tcg 표기로 상호와 정확 일치, 바이오는 노출되지 않아 주소 재확인 불가</t>
        </is>
      </c>
    </row>
    <row r="65" ht="48" customHeight="1">
      <c r="A65" s="102" t="inlineStr">
        <is>
          <t>인천광역시</t>
        </is>
      </c>
      <c r="B65" s="103" t="inlineStr">
        <is>
          <t>03</t>
        </is>
      </c>
      <c r="C65" s="103" t="inlineStr">
        <is>
          <t>미추홀</t>
        </is>
      </c>
      <c r="D65" s="103" t="n">
        <v>1</v>
      </c>
      <c r="E65" s="50" t="inlineStr">
        <is>
          <t>티씨지아레나</t>
        </is>
      </c>
      <c r="F65" s="50" t="inlineStr">
        <is>
          <t>공개 대표번호 미확인</t>
        </is>
      </c>
      <c r="G65" s="50" t="inlineStr">
        <is>
          <t>인천 미추홀구 염창로 77, 3층</t>
        </is>
      </c>
      <c r="H65" s="50" t="str"/>
      <c r="I65" s="50" t="inlineStr">
        <is>
          <t>원피스 카드게임 공식 이벤트 개최 이력이 확인되는 지역 TCG 매장으로 카드 판매와 대회·교류 중심의 플레이 공간입니다.</t>
        </is>
      </c>
      <c r="J65" s="50" t="inlineStr">
        <is>
          <t>https://www.google.com/maps/search/?api=1&amp;query=%ED%8B%B0%EC%94%A8%EC%A7%80%EC%95%84%EB%A0%88%EB%82%98%20%EC%9D%B8%EC%B2%9C%20%EB%AF%B8%EC%B6%94%ED%99%80%EA%B5%AC%20%EC%97%BC%EC%B0%BD%EB%A1%9C%2077%2C%203%EC%B8%B5</t>
        </is>
      </c>
      <c r="K65" s="51" t="inlineStr">
        <is>
          <t>2026-09-11</t>
        </is>
      </c>
      <c r="L65" s="178" t="inlineStr">
        <is>
          <t>없음</t>
        </is>
      </c>
      <c r="M65" s="178" t="n"/>
      <c r="N65" s="180" t="inlineStr">
        <is>
          <t>https://ldb-phinf.pstatic.net/20251006_259/1759726573225QB8Mg_JPEG/KakaoTalk_20251006_132604522.jpg</t>
        </is>
      </c>
      <c r="O65" s="178" t="inlineStr">
        <is>
          <t>네이버 플레이스</t>
        </is>
      </c>
      <c r="P65" s="178" t="n"/>
      <c r="Q65" s="178" t="n"/>
      <c r="R65" s="180" t="inlineStr">
        <is>
          <t>https://m.place.naver.com/place/2069463119/home</t>
        </is>
      </c>
      <c r="S65" s="179" t="n"/>
    </row>
    <row r="66" ht="48" customHeight="1">
      <c r="A66" s="102" t="inlineStr">
        <is>
          <t>강원특별자치도</t>
        </is>
      </c>
      <c r="B66" s="103" t="inlineStr">
        <is>
          <t>01</t>
        </is>
      </c>
      <c r="C66" s="103" t="inlineStr">
        <is>
          <t>원주</t>
        </is>
      </c>
      <c r="D66" s="103" t="n">
        <v>1</v>
      </c>
      <c r="E66" s="50" t="inlineStr">
        <is>
          <t>카드스페이스 원주</t>
        </is>
      </c>
      <c r="F66" s="50" t="inlineStr">
        <is>
          <t>033-745-1444</t>
        </is>
      </c>
      <c r="G66" s="50" t="inlineStr">
        <is>
          <t>강원 원주시 능라동길 42, 602호</t>
        </is>
      </c>
      <c r="H66" s="50" t="inlineStr">
        <is>
          <t>월 휴무 / 12:00~22:00</t>
        </is>
      </c>
      <c r="I66" s="50" t="inlineStr">
        <is>
          <t>포켓몬 공식 카드샵·이벤트와 원피스 공식 대회 이력이 함께 확인되는 멀티 TCG 매장으로 상품 구매와 플레이 이용이 가능합니다.</t>
        </is>
      </c>
      <c r="J66" s="50" t="inlineStr">
        <is>
          <t>https://www.google.com/maps/search/?api=1&amp;query=%EC%B9%B4%EB%93%9C%EC%8A%A4%ED%8E%98%EC%9D%B4%EC%8A%A4%20%EC%9B%90%EC%A3%BC%20%EA%B0%95%EC%9B%90%20%EC%9B%90%EC%A3%BC%EC%8B%9C%20%EB%8A%A5%EB%9D%BC%EB%8F%99%EA%B8%B8%2042%2C%20602%ED%98%B8</t>
        </is>
      </c>
      <c r="K66" s="51" t="inlineStr">
        <is>
          <t>2026-09-11</t>
        </is>
      </c>
      <c r="L66" s="178" t="inlineStr">
        <is>
          <t>없음</t>
        </is>
      </c>
      <c r="M66" s="178" t="n"/>
      <c r="N66" s="180" t="inlineStr">
        <is>
          <t>https://ldb-phinf.pstatic.net/20230404_115/1680589329104xT1cI_PNG/1667622403360.png</t>
        </is>
      </c>
      <c r="O66" s="178" t="inlineStr">
        <is>
          <t>네이버 플레이스</t>
        </is>
      </c>
      <c r="P66" s="178" t="n"/>
      <c r="Q66" s="178" t="n"/>
      <c r="R66" s="180" t="inlineStr">
        <is>
          <t>https://m.place.naver.com/place/1623751793/home</t>
        </is>
      </c>
      <c r="S66" s="179" t="inlineStr">
        <is>
          <t xml:space="preserve">기각: hanabi_crayon:skipped, obviously unrelated (crayon/craft account), ari.nunnunano:skipped, obviously unrelated (personal </t>
        </is>
      </c>
    </row>
    <row r="67" ht="48" customHeight="1">
      <c r="A67" s="102" t="inlineStr">
        <is>
          <t>강원특별자치도</t>
        </is>
      </c>
      <c r="B67" s="103" t="inlineStr">
        <is>
          <t>02</t>
        </is>
      </c>
      <c r="C67" s="103" t="inlineStr">
        <is>
          <t>강릉</t>
        </is>
      </c>
      <c r="D67" s="103" t="n">
        <v>1</v>
      </c>
      <c r="E67" s="50" t="inlineStr">
        <is>
          <t>카드웨이브 강릉</t>
        </is>
      </c>
      <c r="F67" s="50" t="inlineStr">
        <is>
          <t>공개 대표번호 미확인</t>
        </is>
      </c>
      <c r="G67" s="50" t="inlineStr">
        <is>
          <t>강원 강릉시 솔올로 40, 3층</t>
        </is>
      </c>
      <c r="H67" s="50" t="str"/>
      <c r="I67" s="50" t="inlineStr">
        <is>
          <t>포켓몬코리아 공식 카드샵·이벤트 정보에서 확인되는 매장으로 포켓몬 TCG 상품과 토너먼트·플레이 이용이 가능한 곳입니다.</t>
        </is>
      </c>
      <c r="J67" s="50" t="inlineStr">
        <is>
          <t>https://www.google.com/maps/search/?api=1&amp;query=%EC%B9%B4%EB%93%9C%EC%9B%A8%EC%9D%B4%EB%B8%8C%20%EA%B0%95%EB%A6%89%20%EA%B0%95%EC%9B%90%20%EA%B0%95%EB%A6%89%EC%8B%9C%20%EC%86%94%EC%98%AC%EB%A1%9C%2040%2C%203%EC%B8%B5</t>
        </is>
      </c>
      <c r="K67" s="51" t="inlineStr">
        <is>
          <t>2026-09-11</t>
        </is>
      </c>
      <c r="L67" s="178" t="inlineStr">
        <is>
          <t>없음</t>
        </is>
      </c>
      <c r="M67" s="178" t="n"/>
      <c r="N67" s="180" t="inlineStr">
        <is>
          <t>https://ldb-phinf.pstatic.net/20260904_223/1788504917017UOesV_JPEG/1788493816869.jpg</t>
        </is>
      </c>
      <c r="O67" s="178" t="inlineStr">
        <is>
          <t>네이버 플레이스</t>
        </is>
      </c>
      <c r="P67" s="178" t="n"/>
      <c r="Q67" s="178" t="n"/>
      <c r="R67" s="180" t="inlineStr">
        <is>
          <t>https://m.place.naver.com/place/2022221043/home</t>
        </is>
      </c>
      <c r="S67" s="179" t="inlineStr">
        <is>
          <t>기각: wave9.gangneung:unrelated (pension/villa rental brand), bossanova_coffee_roasters:skipped, obviously unrelated (coffee r</t>
        </is>
      </c>
    </row>
    <row r="68" ht="48" customHeight="1">
      <c r="A68" s="102" t="inlineStr">
        <is>
          <t>충청북도</t>
        </is>
      </c>
      <c r="B68" s="103" t="inlineStr">
        <is>
          <t>01</t>
        </is>
      </c>
      <c r="C68" s="103" t="inlineStr">
        <is>
          <t>충주</t>
        </is>
      </c>
      <c r="D68" s="103" t="n">
        <v>1</v>
      </c>
      <c r="E68" s="50" t="inlineStr">
        <is>
          <t>충주 듀얼존</t>
        </is>
      </c>
      <c r="F68" s="50" t="inlineStr">
        <is>
          <t>070-8635-0750**</t>
        </is>
      </c>
      <c r="G68" s="50" t="inlineStr">
        <is>
          <t>충북 충주시 계명대로 27, 2층</t>
        </is>
      </c>
      <c r="H68" s="50" t="str"/>
      <c r="I68" s="50" t="inlineStr">
        <is>
          <t>충주 시외버스터미널 인근의 오래된 TCG 매장으로 유희왕·MTG 중심 판매와 플레이 커뮤니티가 알려져 있습니다.</t>
        </is>
      </c>
      <c r="J68" s="50" t="inlineStr">
        <is>
          <t>https://www.google.com/maps/search/?api=1&amp;query=%EC%B6%A9%EC%A3%BC%20%EB%93%80%EC%96%BC%EC%A1%B4%20%EC%B6%A9%EB%B6%81%20%EC%B6%A9%EC%A3%BC%EC%8B%9C%20%EA%B3%84%EB%AA%85%EB%8C%80%EB%A1%9C%2027%2C%202%EC%B8%B5</t>
        </is>
      </c>
      <c r="K68" s="51" t="inlineStr">
        <is>
          <t>2026-09-11</t>
        </is>
      </c>
      <c r="L68" s="178" t="inlineStr">
        <is>
          <t>없음</t>
        </is>
      </c>
      <c r="M68" s="178" t="n"/>
      <c r="N68" s="178" t="n"/>
      <c r="O68" s="178" t="n"/>
      <c r="P68" s="178" t="n"/>
      <c r="Q68" s="178" t="n"/>
      <c r="R68" s="178" t="n"/>
      <c r="S68" s="179" t="inlineStr">
        <is>
          <t>네이버 플레이스 미매칭 / 기각: chungsta:district government account (충주시 공식), cafe_hoslow1074:skipped, obviously unrelated (cafe), cafe_glouglou:skippe</t>
        </is>
      </c>
    </row>
    <row r="69" ht="48" customHeight="1">
      <c r="A69" s="102" t="inlineStr">
        <is>
          <t>충청북도</t>
        </is>
      </c>
      <c r="B69" s="103" t="inlineStr">
        <is>
          <t>02</t>
        </is>
      </c>
      <c r="C69" s="103" t="inlineStr">
        <is>
          <t>청주</t>
        </is>
      </c>
      <c r="D69" s="103" t="n">
        <v>1</v>
      </c>
      <c r="E69" s="50" t="inlineStr">
        <is>
          <t>카드슬래쉬</t>
        </is>
      </c>
      <c r="F69" s="50" t="inlineStr">
        <is>
          <t>공개 대표번호 미확인</t>
        </is>
      </c>
      <c r="G69" s="50" t="inlineStr">
        <is>
          <t>충북 청주시 서원구 1순환로672번길 64, 3층 301호</t>
        </is>
      </c>
      <c r="H69" s="50" t="str"/>
      <c r="I69" s="50" t="inlineStr">
        <is>
          <t>원피스 카드게임 공식 이벤트 개최 이력이 확인되는 지역 TCG 매장으로 카드 판매와 대회·교류 중심의 플레이 공간입니다.</t>
        </is>
      </c>
      <c r="J69" s="50" t="inlineStr">
        <is>
          <t>https://www.google.com/maps/search/?api=1&amp;query=%EC%B9%B4%EB%93%9C%EC%8A%AC%EB%9E%98%EC%89%AC%20%EC%B6%A9%EB%B6%81%20%EC%B2%AD%EC%A3%BC%EC%8B%9C%20%EC%84%9C%EC%9B%90%EA%B5%AC%201%EC%88%9C%ED%99%98%EB%A1%9C672%EB%B2%88%EA%B8%B8%2064%2C%203%EC%B8%B5%20301%ED%98%B8</t>
        </is>
      </c>
      <c r="K69" s="51" t="inlineStr">
        <is>
          <t>2026-09-11</t>
        </is>
      </c>
      <c r="L69" s="178" t="inlineStr">
        <is>
          <t>@cardslash_cj</t>
        </is>
      </c>
      <c r="M69" s="180" t="inlineStr">
        <is>
          <t>https://www.instagram.com/cardslash_cj/</t>
        </is>
      </c>
      <c r="N69" s="180" t="inlineStr">
        <is>
          <t>https://scontent-icn2-1.cdninstagram.com/v/t51.75761-19/500294408_17865540129392077_2329426423432605723_n.jpg?stp=dst-jpg_s150x150_tt6&amp;_nc_cat=106&amp;ccb=7-5&amp;_nc_sid=f7ccc5&amp;efg=eyJ2ZW5jb2RlX3RhZyI6InByb2ZpbGVfcGljLnd3dy4xMDgwLkMzIn0%3D&amp;_nc_ohc=3AJYrRNbQ68Q7kNvwH_1sME&amp;_nc_oc=Adq2k9j422W9npbWNKXy6PC2IaQK70oe3qBOzb5Qs5BKcb1C_cJxg71VLk_BseqdhKs&amp;_nc_zt=24&amp;_nc_ht=scontent-icn2-1.cdninstagram.com&amp;_nc_gid=tJ-3CR_JHkbvasds2bIM8g&amp;_nc_ss=7fa02&amp;oh=00_AQLVNfPlR8T9xCOb7gisCs_7rcUz__icyxqrKTxL1f3O-A&amp;oe=6AA9A8A9</t>
        </is>
      </c>
      <c r="O69" s="178" t="inlineStr">
        <is>
          <t>인스타 프로필(단기 만료)</t>
        </is>
      </c>
      <c r="P69" s="178" t="n"/>
      <c r="Q69" s="178" t="n"/>
      <c r="R69" s="180" t="inlineStr">
        <is>
          <t>https://m.place.naver.com/place/2042453777/home</t>
        </is>
      </c>
      <c r="S69" s="179" t="inlineStr">
        <is>
          <t>exact name match</t>
        </is>
      </c>
    </row>
    <row r="70" ht="48" customHeight="1">
      <c r="A70" s="102" t="inlineStr">
        <is>
          <t>충청북도</t>
        </is>
      </c>
      <c r="B70" s="103" t="inlineStr">
        <is>
          <t>02</t>
        </is>
      </c>
      <c r="C70" s="103" t="inlineStr">
        <is>
          <t>청주</t>
        </is>
      </c>
      <c r="D70" s="103" t="n">
        <v>2</v>
      </c>
      <c r="E70" s="50" t="inlineStr">
        <is>
          <t>티씨지카드 프리덤</t>
        </is>
      </c>
      <c r="F70" s="50" t="inlineStr">
        <is>
          <t>공개 대표번호 미확인</t>
        </is>
      </c>
      <c r="G70" s="50" t="inlineStr">
        <is>
          <t>충북 청주시 서원구 수곡로 98, 상가 2층 201호</t>
        </is>
      </c>
      <c r="H70" s="50" t="str"/>
      <c r="I70" s="50" t="inlineStr">
        <is>
          <t>원피스 카드게임 공식 이벤트 개최 이력이 확인되는 지역 TCG 매장으로 카드 판매와 대회·교류 중심의 플레이 공간입니다.</t>
        </is>
      </c>
      <c r="J70" s="50" t="inlineStr">
        <is>
          <t>https://www.google.com/maps/search/?api=1&amp;query=%ED%8B%B0%EC%94%A8%EC%A7%80%EC%B9%B4%EB%93%9C%20%ED%94%84%EB%A6%AC%EB%8D%A4%20%EC%B6%A9%EB%B6%81%20%EC%B2%AD%EC%A3%BC%EC%8B%9C%20%EC%84%9C%EC%9B%90%EA%B5%AC%20%EC%88%98%EA%B3%A1%EB%A1%9C%2098%2C%20%EC%83%81%EA%B0%80%202%EC%B8%B5%20201%ED%98%B8</t>
        </is>
      </c>
      <c r="K70" s="51" t="inlineStr">
        <is>
          <t>2026-09-11</t>
        </is>
      </c>
      <c r="L70" s="178" t="inlineStr">
        <is>
          <t>없음</t>
        </is>
      </c>
      <c r="M70" s="178" t="n"/>
      <c r="N70" s="180" t="inlineStr">
        <is>
          <t>https://ldb-phinf.pstatic.net/20250115_224/17369218518454IqAV_JPEG/KakaoTalk_20250115_151300632.jpg</t>
        </is>
      </c>
      <c r="O70" s="178" t="inlineStr">
        <is>
          <t>네이버 플레이스</t>
        </is>
      </c>
      <c r="P70" s="178" t="n"/>
      <c r="Q70" s="178" t="n"/>
      <c r="R70" s="180" t="inlineStr">
        <is>
          <t>https://m.place.naver.com/place/1039038712/home</t>
        </is>
      </c>
      <c r="S70" s="179" t="n"/>
    </row>
    <row r="71" ht="48" customHeight="1">
      <c r="A71" s="102" t="inlineStr">
        <is>
          <t>충청남도</t>
        </is>
      </c>
      <c r="B71" s="103" t="inlineStr">
        <is>
          <t>01</t>
        </is>
      </c>
      <c r="C71" s="103" t="inlineStr">
        <is>
          <t>천안</t>
        </is>
      </c>
      <c r="D71" s="103" t="n">
        <v>1</v>
      </c>
      <c r="E71" s="50" t="inlineStr">
        <is>
          <t>카드빌리지 천안점</t>
        </is>
      </c>
      <c r="F71" s="50" t="inlineStr">
        <is>
          <t>공개 대표번호 미확인</t>
        </is>
      </c>
      <c r="G71" s="50" t="inlineStr">
        <is>
          <t>충남 천안시 서북구 백석로 130, 3층</t>
        </is>
      </c>
      <c r="H71" s="50" t="str"/>
      <c r="I71" s="50" t="inlineStr">
        <is>
          <t>원피스 카드게임 공식 이벤트 개최 이력이 확인되는 지역 TCG 매장으로 카드 판매와 대회·교류 중심의 플레이 공간입니다.</t>
        </is>
      </c>
      <c r="J71" s="50" t="inlineStr">
        <is>
          <t>https://www.google.com/maps/search/?api=1&amp;query=%EC%B9%B4%EB%93%9C%EB%B9%8C%EB%A6%AC%EC%A7%80%20%EC%B2%9C%EC%95%88%EC%A0%90%20%EC%B6%A9%EB%82%A8%20%EC%B2%9C%EC%95%88%EC%8B%9C%20%EC%84%9C%EB%B6%81%EA%B5%AC%20%EB%B0%B1%EC%84%9D%EB%A1%9C%20130%2C%203%EC%B8%B5</t>
        </is>
      </c>
      <c r="K71" s="51" t="inlineStr">
        <is>
          <t>2026-09-11</t>
        </is>
      </c>
      <c r="L71" s="178" t="inlineStr">
        <is>
          <t>없음</t>
        </is>
      </c>
      <c r="M71" s="178" t="n"/>
      <c r="N71" s="180" t="inlineStr">
        <is>
          <t>https://ldb-phinf.pstatic.net/20241023_227/1729664582709XabMj_JPEG/KakaoTalk_20241023_151914453_02.jpg</t>
        </is>
      </c>
      <c r="O71" s="178" t="inlineStr">
        <is>
          <t>네이버 플레이스</t>
        </is>
      </c>
      <c r="P71" s="178" t="n"/>
      <c r="Q71" s="178" t="inlineStr">
        <is>
          <t>@cvca2024</t>
        </is>
      </c>
      <c r="R71" s="180" t="inlineStr">
        <is>
          <t>https://m.place.naver.com/place/1094957156/home</t>
        </is>
      </c>
      <c r="S71" s="179" t="inlineStr">
        <is>
          <t>기각: apooapoo_cheonan:unrelated (aquarium/reptile cafe), hakhwa1934:unrelated (rice cake/walnut cookie bakery chain)</t>
        </is>
      </c>
    </row>
    <row r="72" ht="48" customHeight="1">
      <c r="A72" s="102" t="inlineStr">
        <is>
          <t>충청남도</t>
        </is>
      </c>
      <c r="B72" s="103" t="inlineStr">
        <is>
          <t>01</t>
        </is>
      </c>
      <c r="C72" s="103" t="inlineStr">
        <is>
          <t>천안</t>
        </is>
      </c>
      <c r="D72" s="103" t="n">
        <v>2</v>
      </c>
      <c r="E72" s="50" t="inlineStr">
        <is>
          <t>카드프라임 천안</t>
        </is>
      </c>
      <c r="F72" s="50" t="inlineStr">
        <is>
          <t>070-8890-1110</t>
        </is>
      </c>
      <c r="G72" s="50" t="inlineStr">
        <is>
          <t>충남 천안시 서북구 백석로 130, 2층</t>
        </is>
      </c>
      <c r="H72" s="50" t="str"/>
      <c r="I72" s="50" t="inlineStr">
        <is>
          <t>포켓몬코리아 공식 카드샵·이벤트 정보에서 확인되는 매장으로 포켓몬 TCG 상품과 토너먼트·플레이 이용이 가능한 곳입니다.</t>
        </is>
      </c>
      <c r="J72" s="50" t="inlineStr">
        <is>
          <t>https://www.google.com/maps/search/?api=1&amp;query=%EC%B9%B4%EB%93%9C%ED%94%84%EB%9D%BC%EC%9E%84%20%EC%B2%9C%EC%95%88%20%EC%B6%A9%EB%82%A8%20%EC%B2%9C%EC%95%88%EC%8B%9C%20%EC%84%9C%EB%B6%81%EA%B5%AC%20%EB%B0%B1%EC%84%9D%EB%A1%9C%20130%2C%202%EC%B8%B5</t>
        </is>
      </c>
      <c r="K72" s="51" t="inlineStr">
        <is>
          <t>2026-09-11</t>
        </is>
      </c>
      <c r="L72" s="178" t="inlineStr">
        <is>
          <t>@cardprime_cheonan</t>
        </is>
      </c>
      <c r="M72" s="180" t="inlineStr">
        <is>
          <t>https://www.instagram.com/cardprime_cheonan/</t>
        </is>
      </c>
      <c r="N72" s="180" t="inlineStr">
        <is>
          <t>https://scontent-icn2-1.cdninstagram.com/v/t51.82787-19/753652075_18073283945413101_8733155674006592954_n.jpg?stp=dst-jpg_s150x150_tt6&amp;_nc_cat=105&amp;ccb=7-5&amp;_nc_sid=f7ccc5&amp;efg=eyJ2ZW5jb2RlX3RhZyI6InByb2ZpbGVfcGljLnd3dy41ODIuQzMifQ%3D%3D&amp;_nc_ohc=Hcc2O8LtlVkQ7kNvwGGdQqg&amp;_nc_oc=AdpexZvqlyVCYxmc6Ko0WpwOuhAUiawFV7UclyIXQd_sr52QyOfvhpuNj_6sf0FBijM&amp;_nc_zt=24&amp;_nc_ht=scontent-icn2-1.cdninstagram.com&amp;_nc_gid=8YBmi33O8WkYR3bnkujv2g&amp;_nc_ss=7fa02&amp;oh=00_AQL-63gVZ4ZnauBBREaRa7-nQwSpGngq6O3UvxWsmdCcfg&amp;oe=6AAA1211</t>
        </is>
      </c>
      <c r="O72" s="178" t="inlineStr">
        <is>
          <t>인스타 프로필(단기 만료)</t>
        </is>
      </c>
      <c r="P72" s="178" t="n"/>
      <c r="Q72" s="178" t="n"/>
      <c r="R72" s="178" t="n"/>
      <c r="S72" s="179" t="inlineStr">
        <is>
          <t>주소·상호 완전 일치, 확실</t>
        </is>
      </c>
    </row>
    <row r="73" ht="48" customHeight="1">
      <c r="A73" s="102" t="inlineStr">
        <is>
          <t>대전광역시</t>
        </is>
      </c>
      <c r="B73" s="103" t="inlineStr">
        <is>
          <t>01</t>
        </is>
      </c>
      <c r="C73" s="103" t="inlineStr">
        <is>
          <t>서</t>
        </is>
      </c>
      <c r="D73" s="103" t="n">
        <v>1</v>
      </c>
      <c r="E73" s="50" t="inlineStr">
        <is>
          <t>TCG Korea(티씨지 코리아)</t>
        </is>
      </c>
      <c r="F73" s="50" t="inlineStr">
        <is>
          <t>042-489-0348</t>
        </is>
      </c>
      <c r="G73" s="50" t="inlineStr">
        <is>
          <t>대전 서구 둔산동 1945, 2층</t>
        </is>
      </c>
      <c r="H73" s="50" t="str"/>
      <c r="I73" s="50" t="inlineStr">
        <is>
          <t>원피스 카드게임 공식 이벤트 개최 이력이 확인되는 지역 TCG 매장으로 카드 판매와 대회·교류 중심의 플레이 공간입니다.</t>
        </is>
      </c>
      <c r="J73" s="50" t="inlineStr">
        <is>
          <t>https://www.google.com/maps/search/?api=1&amp;query=TCG%20Korea%28%ED%8B%B0%EC%94%A8%EC%A7%80%20%EC%BD%94%EB%A6%AC%EC%95%84%29%20%EB%8C%80%EC%A0%84%20%EC%84%9C%EA%B5%AC%20%EB%91%94%EC%82%B0%EB%8F%99%201945%2C%202%EC%B8%B5</t>
        </is>
      </c>
      <c r="K73" s="51" t="inlineStr">
        <is>
          <t>2026-09-11</t>
        </is>
      </c>
      <c r="L73" s="178" t="inlineStr">
        <is>
          <t>@tcg.korea</t>
        </is>
      </c>
      <c r="M73" s="180" t="inlineStr">
        <is>
          <t>https://www.instagram.com/tcg.korea/</t>
        </is>
      </c>
      <c r="N73" s="180" t="inlineStr">
        <is>
          <t>https://scontent-icn2-1.cdninstagram.com/v/t51.2885-19/475213441_963916098589214_339027353845888482_n.jpg?stp=dst-jpg_s150x150_tt6&amp;_nc_cat=107&amp;ccb=7-5&amp;_nc_sid=f7ccc5&amp;efg=eyJ2ZW5jb2RlX3RhZyI6InByb2ZpbGVfcGljLnd3dy4xMDgwLkMzIn0%3D&amp;_nc_ohc=_H6APxHHzA8Q7kNvwFGVkuh&amp;_nc_oc=AdoGnbC4xodvM9C4SLvriO67V3UEsjIn28AO4rNGbIfsH1YcTWfsmLcH5NmZVmjnzD8&amp;_nc_zt=24&amp;_nc_ht=scontent-icn2-1.cdninstagram.com&amp;_nc_ss=7fa02&amp;oh=00_AQIiwFzTUihSutUaHHo3iDlpCBZqx1xw-rhT3wdhh9-eLQ&amp;oe=6AA9EB84</t>
        </is>
      </c>
      <c r="O73" s="178" t="inlineStr">
        <is>
          <t>인스타 프로필(단기 만료)</t>
        </is>
      </c>
      <c r="P73" s="178" t="n"/>
      <c r="Q73" s="178" t="n"/>
      <c r="R73" s="180" t="inlineStr">
        <is>
          <t>https://m.place.naver.com/place/1080108673/home</t>
        </is>
      </c>
      <c r="S73" s="179" t="inlineStr">
        <is>
          <t>상호명은 정확히 일치하나 대전 주소 확인은 안됨(바이오에 주소 없음), 팔로워 8명으로 소규모라 신뢰도 중간</t>
        </is>
      </c>
    </row>
    <row r="74" ht="48" customHeight="1">
      <c r="A74" s="102" t="inlineStr">
        <is>
          <t>대전광역시</t>
        </is>
      </c>
      <c r="B74" s="103" t="inlineStr">
        <is>
          <t>01</t>
        </is>
      </c>
      <c r="C74" s="103" t="inlineStr">
        <is>
          <t>서</t>
        </is>
      </c>
      <c r="D74" s="103" t="n">
        <v>2</v>
      </c>
      <c r="E74" s="50" t="inlineStr">
        <is>
          <t>카드롤 대전</t>
        </is>
      </c>
      <c r="F74" s="50" t="inlineStr">
        <is>
          <t>010-4849-7220</t>
        </is>
      </c>
      <c r="G74" s="50" t="inlineStr">
        <is>
          <t>대전 서구 둔산로 72, 등오빌딩 5층</t>
        </is>
      </c>
      <c r="H74" s="50" t="str"/>
      <c r="I74" s="50" t="inlineStr">
        <is>
          <t>포켓몬코리아 공식 카드샵·이벤트 정보에서 확인되는 매장으로 포켓몬 TCG 상품과 토너먼트·플레이 이용이 가능한 곳입니다.</t>
        </is>
      </c>
      <c r="J74" s="50" t="inlineStr">
        <is>
          <t>https://www.google.com/maps/search/?api=1&amp;query=%EC%B9%B4%EB%93%9C%EB%A1%A4%20%EB%8C%80%EC%A0%84%20%EB%8C%80%EC%A0%84%20%EC%84%9C%EA%B5%AC%20%EB%91%94%EC%82%B0%EB%A1%9C%2072%2C%20%EB%93%B1%EC%98%A4%EB%B9%8C%EB%94%A9%205%EC%B8%B5</t>
        </is>
      </c>
      <c r="K74" s="51" t="inlineStr">
        <is>
          <t>2026-09-11</t>
        </is>
      </c>
      <c r="L74" s="178" t="inlineStr">
        <is>
          <t>없음</t>
        </is>
      </c>
      <c r="M74" s="178" t="n"/>
      <c r="N74" s="178" t="n"/>
      <c r="O74" s="178" t="n"/>
      <c r="P74" s="178" t="n"/>
      <c r="Q74" s="178" t="n"/>
      <c r="R74" s="178" t="n"/>
      <c r="S74" s="179" t="inlineStr">
        <is>
          <t>네이버 플레이스 미매칭 / 기각: cafeknotted_kr:skipped, obviously unrelated (cafe), waygroundai:skipped, obviously unrelated (AI account)</t>
        </is>
      </c>
    </row>
    <row r="75" ht="48" customHeight="1">
      <c r="A75" s="102" t="inlineStr">
        <is>
          <t>대전광역시</t>
        </is>
      </c>
      <c r="B75" s="103" t="inlineStr">
        <is>
          <t>02</t>
        </is>
      </c>
      <c r="C75" s="103" t="inlineStr">
        <is>
          <t>유성</t>
        </is>
      </c>
      <c r="D75" s="103" t="n">
        <v>1</v>
      </c>
      <c r="E75" s="50" t="inlineStr">
        <is>
          <t>티씨지스타디움</t>
        </is>
      </c>
      <c r="F75" s="50" t="inlineStr">
        <is>
          <t>공개 대표번호 미확인</t>
        </is>
      </c>
      <c r="G75" s="50" t="inlineStr">
        <is>
          <t>대전 유성구 유성대로668번길 107</t>
        </is>
      </c>
      <c r="H75" s="50" t="str"/>
      <c r="I75" s="50" t="inlineStr">
        <is>
          <t>원피스 카드게임 공식 이벤트 개최 이력이 확인되는 지역 TCG 매장으로 카드 판매와 대회·교류 중심의 플레이 공간입니다.</t>
        </is>
      </c>
      <c r="J75" s="50" t="inlineStr">
        <is>
          <t>https://www.google.com/maps/search/?api=1&amp;query=%ED%8B%B0%EC%94%A8%EC%A7%80%EC%8A%A4%ED%83%80%EB%94%94%EC%9B%80%20%EB%8C%80%EC%A0%84%20%EC%9C%A0%EC%84%B1%EA%B5%AC%20%EC%9C%A0%EC%84%B1%EB%8C%80%EB%A1%9C668%EB%B2%88%EA%B8%B8%20107</t>
        </is>
      </c>
      <c r="K75" s="51" t="inlineStr">
        <is>
          <t>2026-09-11</t>
        </is>
      </c>
      <c r="L75" s="178" t="inlineStr">
        <is>
          <t>없음</t>
        </is>
      </c>
      <c r="M75" s="178" t="n"/>
      <c r="N75" s="180" t="inlineStr">
        <is>
          <t>https://ldb-phinf.pstatic.net/20260831_78/1788156984738iLnb6_JPEG/%C1%A6%B8%F1_%BE%F8%C0%BD.jpg</t>
        </is>
      </c>
      <c r="O75" s="178" t="inlineStr">
        <is>
          <t>네이버 플레이스</t>
        </is>
      </c>
      <c r="P75" s="178" t="n"/>
      <c r="Q75" s="178" t="n"/>
      <c r="R75" s="180" t="inlineStr">
        <is>
          <t>https://m.place.naver.com/place/1024688294/home</t>
        </is>
      </c>
      <c r="S75" s="179" t="n"/>
    </row>
    <row r="76" ht="48" customHeight="1">
      <c r="A76" s="102" t="inlineStr">
        <is>
          <t>대전광역시</t>
        </is>
      </c>
      <c r="B76" s="103" t="inlineStr">
        <is>
          <t>03</t>
        </is>
      </c>
      <c r="C76" s="103" t="inlineStr">
        <is>
          <t>중</t>
        </is>
      </c>
      <c r="D76" s="103" t="n">
        <v>1</v>
      </c>
      <c r="E76" s="50" t="inlineStr">
        <is>
          <t>대전 스카이 스크레이퍼</t>
        </is>
      </c>
      <c r="F76" s="50" t="inlineStr">
        <is>
          <t>010-8011-6646</t>
        </is>
      </c>
      <c r="G76" s="50" t="inlineStr">
        <is>
          <t>대전 중구 목척8길 31, 은행빌딩 3층</t>
        </is>
      </c>
      <c r="H76" s="50" t="str"/>
      <c r="I76" s="50" t="inlineStr">
        <is>
          <t>유희왕 공식 공인점포 목록에서 확인되는 대전 지역 카드샵으로 대회 중심의 오프라인 TCG 플레이 공간.</t>
        </is>
      </c>
      <c r="J76" s="50" t="inlineStr">
        <is>
          <t>https://www.google.com/maps/search/?api=1&amp;query=%EB%8C%80%EC%A0%84%20%EC%8A%A4%EC%B9%B4%EC%9D%B4%20%EC%8A%A4%ED%81%AC%EB%A0%88%EC%9D%B4%ED%8D%BC%20%EB%8C%80%EC%A0%84%20%EC%A4%91%EA%B5%AC%20%EB%AA%A9%EC%B2%998%EA%B8%B8%2031%2C%20%EC%9D%80%ED%96%89%EB%B9%8C%EB%94%A9%203%EC%B8%B5</t>
        </is>
      </c>
      <c r="K76" s="51" t="inlineStr">
        <is>
          <t>2026-09-11</t>
        </is>
      </c>
      <c r="L76" s="178" t="inlineStr">
        <is>
          <t>없음</t>
        </is>
      </c>
      <c r="M76" s="178" t="n"/>
      <c r="N76" s="180" t="inlineStr">
        <is>
          <t>https://ldb-phinf.pstatic.net/20231103_235/1698937808827eor6M_JPEG/8Y7BB9Jf_400x400.jpg</t>
        </is>
      </c>
      <c r="O76" s="178" t="inlineStr">
        <is>
          <t>네이버 플레이스</t>
        </is>
      </c>
      <c r="P76" s="178" t="n"/>
      <c r="Q76" s="178" t="n"/>
      <c r="R76" s="180" t="inlineStr">
        <is>
          <t>https://m.place.naver.com/place/1904594397/home</t>
        </is>
      </c>
      <c r="S76" s="179" t="n"/>
    </row>
    <row r="77" ht="48" customHeight="1">
      <c r="A77" s="102" t="inlineStr">
        <is>
          <t>전북특별자치도</t>
        </is>
      </c>
      <c r="B77" s="103" t="inlineStr">
        <is>
          <t>01</t>
        </is>
      </c>
      <c r="C77" s="103" t="inlineStr">
        <is>
          <t>군산</t>
        </is>
      </c>
      <c r="D77" s="103" t="n">
        <v>1</v>
      </c>
      <c r="E77" s="50" t="inlineStr">
        <is>
          <t>Thing</t>
        </is>
      </c>
      <c r="F77" s="50" t="inlineStr">
        <is>
          <t>010-5124-0224</t>
        </is>
      </c>
      <c r="G77" s="50" t="inlineStr">
        <is>
          <t>전북 군산시 궁포3로 12, 청하빌딩 2층 202호</t>
        </is>
      </c>
      <c r="H77" s="50" t="str"/>
      <c r="I77" s="50" t="inlineStr">
        <is>
          <t>원피스 카드게임 공식 이벤트 개최 이력이 확인되는 지역 TCG 매장으로 카드 판매와 대회·교류 중심의 플레이 공간입니다.</t>
        </is>
      </c>
      <c r="J77" s="50" t="inlineStr">
        <is>
          <t>https://www.google.com/maps/search/?api=1&amp;query=Thing%20%EC%A0%84%EB%B6%81%20%EA%B5%B0%EC%82%B0%EC%8B%9C%20%EA%B6%81%ED%8F%AC3%EB%A1%9C%2012%2C%20%EC%B2%AD%ED%95%98%EB%B9%8C%EB%94%A9%202%EC%B8%B5%20202%ED%98%B8</t>
        </is>
      </c>
      <c r="K77" s="51" t="inlineStr">
        <is>
          <t>2026-09-11</t>
        </is>
      </c>
      <c r="L77" s="178" t="inlineStr">
        <is>
          <t>없음</t>
        </is>
      </c>
      <c r="M77" s="178" t="n"/>
      <c r="N77" s="180" t="inlineStr">
        <is>
          <t>https://ldb-phinf.pstatic.net/20251218_40/1766024599628DxW4E_JPEG/_MG_0425.JPG</t>
        </is>
      </c>
      <c r="O77" s="178" t="inlineStr">
        <is>
          <t>네이버 플레이스</t>
        </is>
      </c>
      <c r="P77" s="178" t="n"/>
      <c r="Q77" s="178" t="n"/>
      <c r="R77" s="180" t="inlineStr">
        <is>
          <t>https://m.place.naver.com/place/1031625380/home</t>
        </is>
      </c>
      <c r="S77" s="179" t="inlineStr">
        <is>
          <t>네이버 등록 링크 @al_thing 은 프로필 대조 결과 무관 계정으로 판단 / 기각: al_thing:unrelated (Seoul select shop, no TCG/군산 mention), hozumipocket:unrelated (music brand)</t>
        </is>
      </c>
    </row>
    <row r="78" ht="48" customHeight="1">
      <c r="A78" s="102" t="inlineStr">
        <is>
          <t>전북특별자치도</t>
        </is>
      </c>
      <c r="B78" s="103" t="inlineStr">
        <is>
          <t>02</t>
        </is>
      </c>
      <c r="C78" s="103" t="inlineStr">
        <is>
          <t>전주</t>
        </is>
      </c>
      <c r="D78" s="103" t="n">
        <v>1</v>
      </c>
      <c r="E78" s="50" t="inlineStr">
        <is>
          <t>디마켓</t>
        </is>
      </c>
      <c r="F78" s="50" t="inlineStr">
        <is>
          <t>010-6607-4394</t>
        </is>
      </c>
      <c r="G78" s="50" t="inlineStr">
        <is>
          <t>전북 전주시 완산구 솟대2길 2, 2층</t>
        </is>
      </c>
      <c r="H78" s="50" t="str"/>
      <c r="I78" s="50" t="inlineStr">
        <is>
          <t>원피스 카드게임 공식 이벤트 개최 이력이 확인되는 지역 TCG 매장으로 카드 판매와 대회·교류 중심의 플레이 공간입니다.</t>
        </is>
      </c>
      <c r="J78" s="50" t="inlineStr">
        <is>
          <t>https://www.google.com/maps/search/?api=1&amp;query=%EB%94%94%EB%A7%88%EC%BC%93%20%EC%A0%84%EB%B6%81%20%EC%A0%84%EC%A3%BC%EC%8B%9C%20%EC%99%84%EC%82%B0%EA%B5%AC%20%EC%86%9F%EB%8C%802%EA%B8%B8%202%2C%202%EC%B8%B5</t>
        </is>
      </c>
      <c r="K78" s="51" t="inlineStr">
        <is>
          <t>2026-09-11</t>
        </is>
      </c>
      <c r="L78" s="178" t="inlineStr">
        <is>
          <t>없음</t>
        </is>
      </c>
      <c r="M78" s="178" t="n"/>
      <c r="N78" s="180" t="inlineStr">
        <is>
          <t>https://ldb-phinf.pstatic.net/20220626_116/1656239027946kgviJ_JPEG/20220625_191922_.jpg</t>
        </is>
      </c>
      <c r="O78" s="178" t="inlineStr">
        <is>
          <t>네이버 플레이스</t>
        </is>
      </c>
      <c r="P78" s="178" t="n"/>
      <c r="Q78" s="178" t="n"/>
      <c r="R78" s="180" t="inlineStr">
        <is>
          <t>https://m.place.naver.com/place/1832399826/home</t>
        </is>
      </c>
      <c r="S78" s="179" t="inlineStr">
        <is>
          <t>기각: dmarket_2002:unrelated (tripe restaurant in Gimpo, wrong city), vinpogshop:unrelated (wine shop in Changwon, wrong city)</t>
        </is>
      </c>
    </row>
    <row r="79" ht="48" customHeight="1">
      <c r="A79" s="102" t="inlineStr">
        <is>
          <t>전라남도</t>
        </is>
      </c>
      <c r="B79" s="103" t="inlineStr">
        <is>
          <t>01</t>
        </is>
      </c>
      <c r="C79" s="103" t="inlineStr">
        <is>
          <t>목포</t>
        </is>
      </c>
      <c r="D79" s="103" t="n">
        <v>1</v>
      </c>
      <c r="E79" s="50" t="inlineStr">
        <is>
          <t>목포 TCG팩토리</t>
        </is>
      </c>
      <c r="F79" s="50" t="inlineStr">
        <is>
          <t>061-284-8839</t>
        </is>
      </c>
      <c r="G79" s="50" t="inlineStr">
        <is>
          <t>전남 목포시 상동 992-10, 2층</t>
        </is>
      </c>
      <c r="H79" s="50" t="str"/>
      <c r="I79" s="50" t="inlineStr">
        <is>
          <t>포켓몬 공식 카드샵·이벤트와 원피스 공식 대회 이력이 함께 확인되는 멀티 TCG 매장으로 상품 구매와 플레이 이용이 가능합니다.</t>
        </is>
      </c>
      <c r="J79" s="50" t="inlineStr">
        <is>
          <t>https://www.google.com/maps/search/?api=1&amp;query=%EB%AA%A9%ED%8F%AC%20TCG%ED%8C%A9%ED%86%A0%EB%A6%AC%20%EC%A0%84%EB%82%A8%20%EB%AA%A9%ED%8F%AC%EC%8B%9C%20%EC%83%81%EB%8F%99%20992-10%2C%202%EC%B8%B5</t>
        </is>
      </c>
      <c r="K79" s="51" t="inlineStr">
        <is>
          <t>2026-09-11</t>
        </is>
      </c>
      <c r="L79" s="178" t="inlineStr">
        <is>
          <t>@tcgfactory.mokpo</t>
        </is>
      </c>
      <c r="M79" s="180" t="inlineStr">
        <is>
          <t>https://www.instagram.com/tcgfactory.mokpo/</t>
        </is>
      </c>
      <c r="N79" s="180" t="inlineStr">
        <is>
          <t>https://scontent-icn2-1.cdninstagram.com/v/t51.82787-19/610694292_17844270276668664_2486344436821599950_n.jpg?stp=dst-jpg_s150x150_tt6&amp;_nc_cat=103&amp;ccb=7-5&amp;_nc_sid=f7ccc5&amp;efg=eyJ2ZW5jb2RlX3RhZyI6InByb2ZpbGVfcGljLnd3dy41NTguQzMifQ%3D%3D&amp;_nc_ohc=nCqEZJQ5-PoQ7kNvwEbohgr&amp;_nc_oc=Adp0PYwc9b5wVH5SEZagtbs_EQXjbz8HZzMlJlQyqMGIMtpoLqpoOGfZ80QrWGBx-n4&amp;_nc_zt=24&amp;_nc_ht=scontent-icn2-1.cdninstagram.com&amp;_nc_gid=Em3s0KEkFdh-lUd1wOKxWA&amp;_nc_ss=7fa02&amp;oh=00_AQItvMc4nOeRa71ghJgrfEaIyqNKr0FvRbKah0EzlY0KCg&amp;oe=6AA9F5B3</t>
        </is>
      </c>
      <c r="O79" s="178" t="inlineStr">
        <is>
          <t>인스타 프로필(단기 만료)</t>
        </is>
      </c>
      <c r="P79" s="178" t="n"/>
      <c r="Q79" s="178" t="n"/>
      <c r="R79" s="178" t="n"/>
      <c r="S79" s="179" t="inlineStr">
        <is>
          <t>상호명 정확 일치</t>
        </is>
      </c>
    </row>
    <row r="80" ht="48" customHeight="1">
      <c r="A80" s="102" t="inlineStr">
        <is>
          <t>광주광역시</t>
        </is>
      </c>
      <c r="B80" s="103" t="inlineStr">
        <is>
          <t>01</t>
        </is>
      </c>
      <c r="C80" s="103" t="inlineStr">
        <is>
          <t>동</t>
        </is>
      </c>
      <c r="D80" s="103" t="n">
        <v>1</v>
      </c>
      <c r="E80" s="50" t="inlineStr">
        <is>
          <t>윈앤헌트(WIN &amp; HUNT)</t>
        </is>
      </c>
      <c r="F80" s="50" t="inlineStr">
        <is>
          <t>010-2399-6289</t>
        </is>
      </c>
      <c r="G80" s="50" t="inlineStr">
        <is>
          <t>광주 동구 제봉로 70, 2층</t>
        </is>
      </c>
      <c r="H80" s="50" t="str"/>
      <c r="I80" s="50" t="inlineStr">
        <is>
          <t>원피스 카드게임 공식 이벤트 개최 이력이 확인되는 지역 TCG 매장으로 카드 판매와 대회·교류 중심의 플레이 공간입니다.</t>
        </is>
      </c>
      <c r="J80" s="50" t="inlineStr">
        <is>
          <t>https://www.google.com/maps/search/?api=1&amp;query=%EC%9C%88%EC%95%A4%ED%97%8C%ED%8A%B8%28WIN%20%26%20HUNT%29%20%EA%B4%91%EC%A3%BC%20%EB%8F%99%EA%B5%AC%20%EC%A0%9C%EB%B4%89%EB%A1%9C%2070%2C%202%EC%B8%B5</t>
        </is>
      </c>
      <c r="K80" s="51" t="inlineStr">
        <is>
          <t>2026-09-11</t>
        </is>
      </c>
      <c r="L80" s="178" t="inlineStr">
        <is>
          <t>없음</t>
        </is>
      </c>
      <c r="M80" s="178" t="n"/>
      <c r="N80" s="180" t="inlineStr">
        <is>
          <t>https://ldb-phinf.pstatic.net/20251112_3/1762925879919iNOGx_JPEG/WINHUNT-02.jpg</t>
        </is>
      </c>
      <c r="O80" s="178" t="inlineStr">
        <is>
          <t>네이버 플레이스</t>
        </is>
      </c>
      <c r="P80" s="178" t="n"/>
      <c r="Q80" s="178" t="n"/>
      <c r="R80" s="180" t="inlineStr">
        <is>
          <t>https://m.place.naver.com/place/1034378936/home</t>
        </is>
      </c>
      <c r="S80" s="179" t="inlineStr">
        <is>
          <t>기각: toymarket_gwangju:unrelated (different shop name/district, 서구 vs 동구), playgamacom:unrelated (HTML5 game distributor)</t>
        </is>
      </c>
    </row>
    <row r="81" ht="48" customHeight="1">
      <c r="A81" s="102" t="inlineStr">
        <is>
          <t>광주광역시</t>
        </is>
      </c>
      <c r="B81" s="103" t="inlineStr">
        <is>
          <t>01</t>
        </is>
      </c>
      <c r="C81" s="103" t="inlineStr">
        <is>
          <t>동</t>
        </is>
      </c>
      <c r="D81" s="103" t="n">
        <v>2</v>
      </c>
      <c r="E81" s="50" t="inlineStr">
        <is>
          <t>화성스토어 광주점</t>
        </is>
      </c>
      <c r="F81" s="50" t="inlineStr">
        <is>
          <t>010-3083-9697</t>
        </is>
      </c>
      <c r="G81" s="50" t="inlineStr">
        <is>
          <t>광주 동구 중앙로160번길 22, 2층</t>
        </is>
      </c>
      <c r="H81" s="50" t="inlineStr">
        <is>
          <t>12:00~22:00 (공개 매장 정보 기준)</t>
        </is>
      </c>
      <c r="I81" s="50" t="inlineStr">
        <is>
          <t>포켓몬 공식 카드샵·이벤트와 원피스 공식 대회 이력이 함께 확인되는 멀티 TCG 매장으로 상품 구매와 플레이 이용이 가능합니다.</t>
        </is>
      </c>
      <c r="J81" s="50" t="inlineStr">
        <is>
          <t>https://www.google.com/maps/search/?api=1&amp;query=%ED%99%94%EC%84%B1%EC%8A%A4%ED%86%A0%EC%96%B4%20%EA%B4%91%EC%A3%BC%EC%A0%90%20%EA%B4%91%EC%A3%BC%20%EB%8F%99%EA%B5%AC%20%EC%A4%91%EC%95%99%EB%A1%9C160%EB%B2%88%EA%B8%B8%2022%2C%202%EC%B8%B5</t>
        </is>
      </c>
      <c r="K81" s="51" t="inlineStr">
        <is>
          <t>2026-09-11</t>
        </is>
      </c>
      <c r="L81" s="178" t="inlineStr">
        <is>
          <t>@hs_storetcg</t>
        </is>
      </c>
      <c r="M81" s="180" t="inlineStr">
        <is>
          <t>https://www.instagram.com/hs_storetcg/</t>
        </is>
      </c>
      <c r="N81" s="180" t="inlineStr">
        <is>
          <t>https://ldb-phinf.pstatic.net/20221014_174/1665734749588BB9W9_JPEG/KakaoTalk_20221013_225120315.jpg</t>
        </is>
      </c>
      <c r="O81" s="178" t="inlineStr">
        <is>
          <t>네이버 플레이스</t>
        </is>
      </c>
      <c r="P81" s="180" t="inlineStr">
        <is>
          <t>https://scontent-icn2-1.cdninstagram.com/v/t51.2885-19/311860276_149821504090996_5309512841959488101_n.jpg?stp=dst-jpg_s150x150_tt6&amp;_nc_cat=107&amp;ccb=7-5&amp;_nc_sid=f7ccc5&amp;efg=eyJ2ZW5jb2RlX3RhZyI6InByb2ZpbGVfcGljLnd3dy4xMDgwLkMzIn0%3D&amp;_nc_ohc=OfYWYlJB7uMQ7kNvwEmXTJR&amp;_nc_oc=AdpHpPUn2m1G9L8WWMOVrK4pxPpEoeIAUCOfiOOmNJRr3ZjW97rucknW5xJM_UP1zzM&amp;_nc_zt=24&amp;_nc_ht=scontent-icn2-1.cdninstagram.com&amp;_nc_ss=7fa02&amp;oh=00_AQJ1iMwDMsb5Gk8eZCCqUVHMXOx-1U6fzo5R_occbKFP8A&amp;oe=6AA9A208</t>
        </is>
      </c>
      <c r="Q81" s="178" t="n"/>
      <c r="R81" s="180" t="inlineStr">
        <is>
          <t>https://m.place.naver.com/place/1493090363/home</t>
        </is>
      </c>
      <c r="S81" s="179" t="inlineStr">
        <is>
          <t>exact address match</t>
        </is>
      </c>
    </row>
    <row r="82" ht="48" customHeight="1">
      <c r="A82" s="102" t="inlineStr">
        <is>
          <t>광주광역시</t>
        </is>
      </c>
      <c r="B82" s="103" t="inlineStr">
        <is>
          <t>02</t>
        </is>
      </c>
      <c r="C82" s="103" t="inlineStr">
        <is>
          <t>서</t>
        </is>
      </c>
      <c r="D82" s="103" t="n">
        <v>1</v>
      </c>
      <c r="E82" s="50" t="inlineStr">
        <is>
          <t>티씨지 플레이어</t>
        </is>
      </c>
      <c r="F82" s="50" t="inlineStr">
        <is>
          <t>010-6761-2294</t>
        </is>
      </c>
      <c r="G82" s="50" t="inlineStr">
        <is>
          <t>광주 서구 화운로 106, 2층</t>
        </is>
      </c>
      <c r="H82" s="50" t="str"/>
      <c r="I82" s="50" t="inlineStr">
        <is>
          <t>원피스 카드게임 공식 이벤트 개최 이력이 확인되는 지역 TCG 매장으로 카드 판매와 대회·교류 중심의 플레이 공간입니다.</t>
        </is>
      </c>
      <c r="J82" s="50" t="inlineStr">
        <is>
          <t>https://www.google.com/maps/search/?api=1&amp;query=%ED%8B%B0%EC%94%A8%EC%A7%80%20%ED%94%8C%EB%A0%88%EC%9D%B4%EC%96%B4%20%EA%B4%91%EC%A3%BC%20%EC%84%9C%EA%B5%AC%20%ED%99%94%EC%9A%B4%EB%A1%9C%20106%2C%202%EC%B8%B5</t>
        </is>
      </c>
      <c r="K82" s="51" t="inlineStr">
        <is>
          <t>2026-09-11</t>
        </is>
      </c>
      <c r="L82" s="178" t="inlineStr">
        <is>
          <t>없음</t>
        </is>
      </c>
      <c r="M82" s="178" t="n"/>
      <c r="N82" s="180" t="inlineStr">
        <is>
          <t>https://ldb-phinf.pstatic.net/20240205_114/1707139573867ob0Jc_JPEG/%C1%A4%B9%AE.jpg</t>
        </is>
      </c>
      <c r="O82" s="178" t="inlineStr">
        <is>
          <t>네이버 플레이스</t>
        </is>
      </c>
      <c r="P82" s="178" t="n"/>
      <c r="Q82" s="178" t="n"/>
      <c r="R82" s="180" t="inlineStr">
        <is>
          <t>https://m.place.naver.com/place/1991274895/home</t>
        </is>
      </c>
      <c r="S82" s="179" t="inlineStr">
        <is>
          <t>기각: toymarket_gwangju:다른 매장(토이마켓 광주점, 상무대로 1228, 완구), 이름/주소 불일치</t>
        </is>
      </c>
    </row>
    <row r="83" ht="48" customHeight="1">
      <c r="A83" s="102" t="inlineStr">
        <is>
          <t>경상북도</t>
        </is>
      </c>
      <c r="B83" s="103" t="inlineStr">
        <is>
          <t>01</t>
        </is>
      </c>
      <c r="C83" s="103" t="inlineStr">
        <is>
          <t>미</t>
        </is>
      </c>
      <c r="D83" s="103" t="n">
        <v>1</v>
      </c>
      <c r="E83" s="50" t="inlineStr">
        <is>
          <t>터틀라이트</t>
        </is>
      </c>
      <c r="F83" s="50" t="inlineStr">
        <is>
          <t>공개 대표번호 미확인</t>
        </is>
      </c>
      <c r="G83" s="50" t="inlineStr">
        <is>
          <t>경북 구미시 형곡로12길 13, 2층</t>
        </is>
      </c>
      <c r="H83" s="50" t="str"/>
      <c r="I83" s="50" t="inlineStr">
        <is>
          <t>구미 형곡동의 TCG 매장으로 공개 정보 기준 유희왕·디지몬·니벨아레나 등 여러 카드게임을 취급합니다.</t>
        </is>
      </c>
      <c r="J83" s="50" t="inlineStr">
        <is>
          <t>https://www.google.com/maps/search/?api=1&amp;query=%ED%84%B0%ED%8B%80%EB%9D%BC%EC%9D%B4%ED%8A%B8%20%EA%B2%BD%EB%B6%81%20%EA%B5%AC%EB%AF%B8%EC%8B%9C%20%ED%98%95%EA%B3%A1%EB%A1%9C12%EA%B8%B8%2013%2C%202%EC%B8%B5</t>
        </is>
      </c>
      <c r="K83" s="51" t="inlineStr">
        <is>
          <t>2026-09-11</t>
        </is>
      </c>
      <c r="L83" s="178" t="inlineStr">
        <is>
          <t>없음</t>
        </is>
      </c>
      <c r="M83" s="178" t="n"/>
      <c r="N83" s="180" t="inlineStr">
        <is>
          <t>https://ldb-phinf.pstatic.net/20250521_161/1747811626985nOijD_JPEG/IMG_6281.jpg</t>
        </is>
      </c>
      <c r="O83" s="178" t="inlineStr">
        <is>
          <t>네이버 플레이스</t>
        </is>
      </c>
      <c r="P83" s="178" t="n"/>
      <c r="Q83" s="178" t="n"/>
      <c r="R83" s="180" t="inlineStr">
        <is>
          <t>https://m.place.naver.com/place/2090874980/home</t>
        </is>
      </c>
      <c r="S83" s="179" t="n"/>
    </row>
    <row r="84" ht="48" customHeight="1">
      <c r="A84" s="102" t="inlineStr">
        <is>
          <t>대구광역시</t>
        </is>
      </c>
      <c r="B84" s="103" t="inlineStr">
        <is>
          <t>01</t>
        </is>
      </c>
      <c r="C84" s="103" t="inlineStr">
        <is>
          <t>서</t>
        </is>
      </c>
      <c r="D84" s="103" t="n">
        <v>1</v>
      </c>
      <c r="E84" s="50" t="inlineStr">
        <is>
          <t>대구 ss듀얼샵</t>
        </is>
      </c>
      <c r="F84" s="50" t="inlineStr">
        <is>
          <t>010-3541-3974</t>
        </is>
      </c>
      <c r="G84" s="50" t="inlineStr">
        <is>
          <t>대구 달서구 월배로 132, 상가동 201호</t>
        </is>
      </c>
      <c r="H84" s="50" t="str"/>
      <c r="I84" s="50" t="inlineStr">
        <is>
          <t>원피스 카드게임 공식 이벤트 개최 이력이 확인되는 지역 TCG 매장으로 카드 판매와 대회·교류 중심의 플레이 공간입니다.</t>
        </is>
      </c>
      <c r="J84" s="50" t="inlineStr">
        <is>
          <t>https://www.google.com/maps/search/?api=1&amp;query=%EB%8C%80%EA%B5%AC%20ss%EB%93%80%EC%96%BC%EC%83%B5%20%EB%8C%80%EA%B5%AC%20%EB%8B%AC%EC%84%9C%EA%B5%AC%20%EC%9B%94%EB%B0%B0%EB%A1%9C%20132%2C%20%EC%83%81%EA%B0%80%EB%8F%99%20201%ED%98%B8</t>
        </is>
      </c>
      <c r="K84" s="51" t="inlineStr">
        <is>
          <t>2026-09-11</t>
        </is>
      </c>
      <c r="L84" s="178" t="inlineStr">
        <is>
          <t>없음</t>
        </is>
      </c>
      <c r="M84" s="178" t="n"/>
      <c r="N84" s="178" t="n"/>
      <c r="O84" s="178" t="n"/>
      <c r="P84" s="178" t="n"/>
      <c r="Q84" s="178" t="n"/>
      <c r="R84" s="178" t="n"/>
      <c r="S84" s="179" t="inlineStr">
        <is>
          <t>네이버 플레이스 미매칭 / 기각: daewonshop_daegu:대원샵 더현대 대구점(닌텐도 전문), 중구 달구벌대로, 이름/주소 불일치, stadiumshop_daegu:스타디움샵 야중사(야구용품), 달서구 진천로, 업종 불일치, anime_goo</t>
        </is>
      </c>
    </row>
    <row r="85" ht="48" customHeight="1">
      <c r="A85" s="102" t="inlineStr">
        <is>
          <t>대구광역시</t>
        </is>
      </c>
      <c r="B85" s="103" t="inlineStr">
        <is>
          <t>01</t>
        </is>
      </c>
      <c r="C85" s="103" t="inlineStr">
        <is>
          <t>서</t>
        </is>
      </c>
      <c r="D85" s="103" t="n">
        <v>2</v>
      </c>
      <c r="E85" s="50" t="inlineStr">
        <is>
          <t>트레이너 스쿨 대구</t>
        </is>
      </c>
      <c r="F85" s="50" t="inlineStr">
        <is>
          <t>010-4836-2223</t>
        </is>
      </c>
      <c r="G85" s="50" t="inlineStr">
        <is>
          <t>대구 달서구 성당동 488-1, 2층</t>
        </is>
      </c>
      <c r="H85" s="50" t="inlineStr">
        <is>
          <t>평일 13:00~21:00 / 주말 13:00~22:00</t>
        </is>
      </c>
      <c r="I85" s="50" t="inlineStr">
        <is>
          <t>포켓몬코리아 공식 카드샵·이벤트 정보에서 확인되는 매장으로 포켓몬 TCG 상품과 토너먼트·플레이 이용이 가능한 곳입니다.</t>
        </is>
      </c>
      <c r="J85" s="50" t="inlineStr">
        <is>
          <t>https://www.google.com/maps/search/?api=1&amp;query=%ED%8A%B8%EB%A0%88%EC%9D%B4%EB%84%88%20%EC%8A%A4%EC%BF%A8%20%EB%8C%80%EA%B5%AC%20%EB%8C%80%EA%B5%AC%20%EB%8B%AC%EC%84%9C%EA%B5%AC%20%EC%84%B1%EB%8B%B9%EB%8F%99%20488-1%2C%202%EC%B8%B5</t>
        </is>
      </c>
      <c r="K85" s="51" t="inlineStr">
        <is>
          <t>2026-09-11</t>
        </is>
      </c>
      <c r="L85" s="178" t="inlineStr">
        <is>
          <t>@trainerschool</t>
        </is>
      </c>
      <c r="M85" s="180" t="inlineStr">
        <is>
          <t>https://www.instagram.com/trainerschool/</t>
        </is>
      </c>
      <c r="N85" s="180" t="inlineStr">
        <is>
          <t>https://ldb-phinf.pstatic.net/20230329_52/1680082929583k5VB0_JPEG/IMG_20230111_120640_120.jpg</t>
        </is>
      </c>
      <c r="O85" s="178" t="inlineStr">
        <is>
          <t>네이버 플레이스</t>
        </is>
      </c>
      <c r="P85" s="180" t="inlineStr">
        <is>
          <t>https://scontent-icn2-1.cdninstagram.com/v/t51.2885-19/325197695_1303313530248452_8871863789794651571_n.jpg?stp=dst-jpg_s150x150_tt6&amp;_nc_cat=110&amp;ccb=7-5&amp;_nc_sid=f7ccc5&amp;efg=eyJ2ZW5jb2RlX3RhZyI6InByb2ZpbGVfcGljLnd3dy4xMDgwLkMzIn0%3D&amp;_nc_ohc=WTDEI5euFIYQ7kNvwHxxjxy&amp;_nc_oc=Adq1NL7aPeFSpr-YERU2E8YnBUb4WhvyGNUwdrb_lssOK84UG2nrNljgR3npVkVPiqA&amp;_nc_zt=24&amp;_nc_ht=scontent-icn2-1.cdninstagram.com&amp;_nc_ss=7fa02&amp;oh=00_AQJdq2BVs6GLWeax97dvVw549qnvqu0HBiYJU2QwiX8L6A&amp;oe=6AA9F8C0</t>
        </is>
      </c>
      <c r="Q85" s="178" t="n"/>
      <c r="R85" s="180" t="inlineStr">
        <is>
          <t>https://m.place.naver.com/place/1995387969/home</t>
        </is>
      </c>
      <c r="S85" s="179" t="inlineStr">
        <is>
          <t>상호+지역 일치</t>
        </is>
      </c>
    </row>
    <row r="86" ht="48" customHeight="1">
      <c r="A86" s="102" t="inlineStr">
        <is>
          <t>대구광역시</t>
        </is>
      </c>
      <c r="B86" s="103" t="inlineStr">
        <is>
          <t>02</t>
        </is>
      </c>
      <c r="C86" s="103" t="inlineStr">
        <is>
          <t>동</t>
        </is>
      </c>
      <c r="D86" s="103" t="n">
        <v>1</v>
      </c>
      <c r="E86" s="50" t="inlineStr">
        <is>
          <t>대구 듀얼챔프</t>
        </is>
      </c>
      <c r="F86" s="50" t="inlineStr">
        <is>
          <t>053-426-7717</t>
        </is>
      </c>
      <c r="G86" s="50" t="inlineStr">
        <is>
          <t>대구 동구 송라로 66, 3층</t>
        </is>
      </c>
      <c r="H86" s="50" t="str"/>
      <c r="I86" s="50" t="inlineStr">
        <is>
          <t>원피스 카드게임 공식 이벤트 개최 이력이 확인되는 지역 TCG 매장으로 카드 판매와 대회·교류 중심의 플레이 공간입니다.</t>
        </is>
      </c>
      <c r="J86" s="50" t="inlineStr">
        <is>
          <t>https://www.google.com/maps/search/?api=1&amp;query=%EB%8C%80%EA%B5%AC%20%EB%93%80%EC%96%BC%EC%B1%94%ED%94%84%20%EB%8C%80%EA%B5%AC%20%EB%8F%99%EA%B5%AC%20%EC%86%A1%EB%9D%BC%EB%A1%9C%2066%2C%203%EC%B8%B5</t>
        </is>
      </c>
      <c r="K86" s="51" t="inlineStr">
        <is>
          <t>2026-09-11</t>
        </is>
      </c>
      <c r="L86" s="178" t="inlineStr">
        <is>
          <t>없음</t>
        </is>
      </c>
      <c r="M86" s="178" t="n"/>
      <c r="N86" s="180" t="inlineStr">
        <is>
          <t>https://ldb-phinf.pstatic.net/20260207_17/1770452909427E0o5B_JPEG/%BF%DC%BA%CE%BB%E7%C1%F8.jpg</t>
        </is>
      </c>
      <c r="O86" s="178" t="inlineStr">
        <is>
          <t>네이버 플레이스</t>
        </is>
      </c>
      <c r="P86" s="178" t="n"/>
      <c r="Q86" s="178" t="n"/>
      <c r="R86" s="180" t="inlineStr">
        <is>
          <t>https://m.place.naver.com/place/2000283363/home</t>
        </is>
      </c>
      <c r="S86" s="179" t="inlineStr">
        <is>
          <t>기각: anime_goods.shop:대구 동성로 아니메굿즈(피규어), 중구 동성로, 동구 아님/이름 불일치</t>
        </is>
      </c>
    </row>
    <row r="87" ht="48" customHeight="1">
      <c r="A87" s="102" t="inlineStr">
        <is>
          <t>대구광역시</t>
        </is>
      </c>
      <c r="B87" s="103" t="inlineStr">
        <is>
          <t>03</t>
        </is>
      </c>
      <c r="C87" s="103" t="inlineStr">
        <is>
          <t>중</t>
        </is>
      </c>
      <c r="D87" s="103" t="n">
        <v>1</v>
      </c>
      <c r="E87" s="50" t="inlineStr">
        <is>
          <t>듀얼스파크</t>
        </is>
      </c>
      <c r="F87" s="50" t="inlineStr">
        <is>
          <t>010-8447-2673</t>
        </is>
      </c>
      <c r="G87" s="50" t="inlineStr">
        <is>
          <t>대구 중구 동성로2길 50-13, 3층</t>
        </is>
      </c>
      <c r="H87" s="50" t="str"/>
      <c r="I87" s="50" t="inlineStr">
        <is>
          <t>원피스 카드게임 공식 이벤트 개최 이력이 확인되는 지역 TCG 매장으로 카드 판매와 대회·교류 중심의 플레이 공간입니다.</t>
        </is>
      </c>
      <c r="J87" s="50" t="inlineStr">
        <is>
          <t>https://www.google.com/maps/search/?api=1&amp;query=%EB%93%80%EC%96%BC%EC%8A%A4%ED%8C%8C%ED%81%AC%20%EB%8C%80%EA%B5%AC%20%EC%A4%91%EA%B5%AC%20%EB%8F%99%EC%84%B1%EB%A1%9C2%EA%B8%B8%2050-13%2C%203%EC%B8%B5</t>
        </is>
      </c>
      <c r="K87" s="51" t="inlineStr">
        <is>
          <t>2026-09-11</t>
        </is>
      </c>
      <c r="L87" s="178" t="inlineStr">
        <is>
          <t>없음</t>
        </is>
      </c>
      <c r="M87" s="178" t="n"/>
      <c r="N87" s="180" t="inlineStr">
        <is>
          <t>https://naverbooking-phinf.pstatic.net/20240418_201/1713434561463uiU2v_PNG/%B1%D7%B8%B21.png</t>
        </is>
      </c>
      <c r="O87" s="178" t="inlineStr">
        <is>
          <t>네이버 플레이스</t>
        </is>
      </c>
      <c r="P87" s="178" t="n"/>
      <c r="Q87" s="178" t="n"/>
      <c r="R87" s="180" t="inlineStr">
        <is>
          <t>https://m.place.naver.com/place/1838802430/home</t>
        </is>
      </c>
      <c r="S87" s="179" t="n"/>
    </row>
    <row r="88" ht="48" customHeight="1">
      <c r="A88" s="102" t="inlineStr">
        <is>
          <t>울산광역시</t>
        </is>
      </c>
      <c r="B88" s="103" t="inlineStr">
        <is>
          <t>01</t>
        </is>
      </c>
      <c r="C88" s="103" t="inlineStr">
        <is>
          <t>중</t>
        </is>
      </c>
      <c r="D88" s="103" t="n">
        <v>1</v>
      </c>
      <c r="E88" s="50" t="inlineStr">
        <is>
          <t>TCG 팩토리 울산</t>
        </is>
      </c>
      <c r="F88" s="50" t="inlineStr">
        <is>
          <t>052-710-4083</t>
        </is>
      </c>
      <c r="G88" s="50" t="inlineStr">
        <is>
          <t>울산 중구 번영로 454-1, 1층</t>
        </is>
      </c>
      <c r="H88" s="50" t="inlineStr">
        <is>
          <t>12:00~21:00 (공개 매장 정보 기준)</t>
        </is>
      </c>
      <c r="I88" s="50" t="inlineStr">
        <is>
          <t>포켓몬코리아 공식 카드샵·이벤트 정보에서 확인되는 매장으로 포켓몬 TCG 상품과 토너먼트·플레이 이용이 가능한 곳입니다.</t>
        </is>
      </c>
      <c r="J88" s="50" t="inlineStr">
        <is>
          <t>https://www.google.com/maps/search/?api=1&amp;query=TCG%20%ED%8C%A9%ED%86%A0%EB%A6%AC%20%EC%9A%B8%EC%82%B0%20%EC%9A%B8%EC%82%B0%20%EC%A4%91%EA%B5%AC%20%EB%B2%88%EC%98%81%EB%A1%9C%20454-1%2C%201%EC%B8%B5</t>
        </is>
      </c>
      <c r="K88" s="51" t="inlineStr">
        <is>
          <t>2026-09-11</t>
        </is>
      </c>
      <c r="L88" s="178" t="inlineStr">
        <is>
          <t>@ulsan_tcgfactory</t>
        </is>
      </c>
      <c r="M88" s="180" t="inlineStr">
        <is>
          <t>https://www.instagram.com/ulsan_tcgfactory/</t>
        </is>
      </c>
      <c r="N88" s="180" t="inlineStr">
        <is>
          <t>https://ldb-phinf.pstatic.net/20240505_259/1714920367997Mfu5F_JPEG/23DE49A2-9E4B-4142-9CC4-0267B54AA673.jpeg</t>
        </is>
      </c>
      <c r="O88" s="178" t="inlineStr">
        <is>
          <t>네이버 플레이스</t>
        </is>
      </c>
      <c r="P88" s="180" t="inlineStr">
        <is>
          <t>https://scontent-icn2-1.cdninstagram.com/v/t51.2885-19/379327449_1374713926756093_1259750207633737077_n.jpg?stp=dst-jpg_s150x150_tt6&amp;_nc_cat=108&amp;ccb=7-5&amp;_nc_sid=f7ccc5&amp;efg=eyJ2ZW5jb2RlX3RhZyI6InByb2ZpbGVfcGljLnd3dy4xMDgwLkMzIn0%3D&amp;_nc_ohc=SmA3XqHC9NMQ7kNvwGfHDqw&amp;_nc_oc=Adr3Otg1Q51EL4C9GOH6EkpeF1AqxVf_GLSYpxnFRL4Qp8Zk802kfVgsrqZXOwE4EB8&amp;_nc_zt=24&amp;_nc_ht=scontent-icn2-1.cdninstagram.com&amp;_nc_ss=7fa02&amp;oh=00_AQJXaR9d2mdfmhW98wFZ4TqtTEzpQFHhGqeT25oZ06sy7A&amp;oe=6AA9F831</t>
        </is>
      </c>
      <c r="Q88" s="178" t="n"/>
      <c r="R88" s="180" t="inlineStr">
        <is>
          <t>https://m.place.naver.com/place/1139551108/home</t>
        </is>
      </c>
      <c r="S88" s="179" t="inlineStr">
        <is>
          <t>주소(번영로 454-1) 완전 일치</t>
        </is>
      </c>
    </row>
    <row r="89" ht="48" customHeight="1">
      <c r="A89" s="102" t="inlineStr">
        <is>
          <t>울산광역시</t>
        </is>
      </c>
      <c r="B89" s="103" t="inlineStr">
        <is>
          <t>01</t>
        </is>
      </c>
      <c r="C89" s="103" t="inlineStr">
        <is>
          <t>중</t>
        </is>
      </c>
      <c r="D89" s="103" t="n">
        <v>2</v>
      </c>
      <c r="E89" s="50" t="inlineStr">
        <is>
          <t>울산 듀얼팩토리</t>
        </is>
      </c>
      <c r="F89" s="50" t="inlineStr">
        <is>
          <t>052-248-4083</t>
        </is>
      </c>
      <c r="G89" s="50" t="inlineStr">
        <is>
          <t>울산 중구 복산동 36-8, 2층</t>
        </is>
      </c>
      <c r="H89" s="50" t="str"/>
      <c r="I89" s="50" t="inlineStr">
        <is>
          <t>원피스 카드게임 공식 이벤트 개최 이력이 확인되는 지역 TCG 매장으로 카드 판매와 대회·교류 중심의 플레이 공간입니다.</t>
        </is>
      </c>
      <c r="J89" s="50" t="inlineStr">
        <is>
          <t>https://www.google.com/maps/search/?api=1&amp;query=%EC%9A%B8%EC%82%B0%20%EB%93%80%EC%96%BC%ED%8C%A9%ED%86%A0%EB%A6%AC%20%EC%9A%B8%EC%82%B0%20%EC%A4%91%EA%B5%AC%20%EB%B3%B5%EC%82%B0%EB%8F%99%2036-8%2C%202%EC%B8%B5</t>
        </is>
      </c>
      <c r="K89" s="51" t="inlineStr">
        <is>
          <t>2026-09-11</t>
        </is>
      </c>
      <c r="L89" s="178" t="inlineStr">
        <is>
          <t>@tcg_dual.factory</t>
        </is>
      </c>
      <c r="M89" s="180" t="inlineStr">
        <is>
          <t>https://www.instagram.com/tcg_dual.factory/</t>
        </is>
      </c>
      <c r="N89" s="180" t="inlineStr">
        <is>
          <t>https://ldb-phinf.pstatic.net/20241217_65/1734426138021QCJ6j_JPEG/KakaoTalk_20241018_192853533_%BA%B9%BB%E7.jpg</t>
        </is>
      </c>
      <c r="O89" s="178" t="inlineStr">
        <is>
          <t>네이버 플레이스</t>
        </is>
      </c>
      <c r="P89" s="180" t="inlineStr">
        <is>
          <t>https://scontent-icn2-1.cdninstagram.com/v/t51.75761-19/491510825_17843044539473933_3379864865474468053_n.jpg?stp=dst-jpg_s150x150_tt6&amp;_nc_cat=109&amp;ccb=7-5&amp;_nc_sid=f7ccc5&amp;efg=eyJ2ZW5jb2RlX3RhZyI6InByb2ZpbGVfcGljLnd3dy4xMDgwLkMzIn0%3D&amp;_nc_ohc=hmkGm02dKBwQ7kNvwEn2UPw&amp;_nc_oc=AdoeE-UN8jIWv1hnSLMZwgHtiWxAT_BCfyqtRSZ7Jj5hzvHwuSFO7mouPayIEdhOJrg&amp;_nc_zt=24&amp;_nc_ht=scontent-icn2-1.cdninstagram.com&amp;_nc_gid=ECV2jwjDS9XweLjza7Muog&amp;_nc_ss=7fa02&amp;oh=00_AQIeyLNWPVaP8OpbZJQNSmpQaZuypT38RkWwztvh8X0MrA&amp;oe=6AAA16C7</t>
        </is>
      </c>
      <c r="Q89" s="178" t="n"/>
      <c r="R89" s="180" t="inlineStr">
        <is>
          <t>https://m.place.naver.com/place/37815670/home</t>
        </is>
      </c>
      <c r="S89" s="179" t="inlineStr">
        <is>
          <t>상호명 완전 일치(바이오 주소는 454-1로 표기돼 등록주소 36-8과 다르나 계정명 자체가 확정적)</t>
        </is>
      </c>
    </row>
    <row r="90" ht="48" customHeight="1">
      <c r="A90" s="102" t="inlineStr">
        <is>
          <t>울산광역시</t>
        </is>
      </c>
      <c r="B90" s="103" t="inlineStr">
        <is>
          <t>02</t>
        </is>
      </c>
      <c r="C90" s="103" t="inlineStr">
        <is>
          <t>남</t>
        </is>
      </c>
      <c r="D90" s="103" t="n">
        <v>1</v>
      </c>
      <c r="E90" s="50" t="inlineStr">
        <is>
          <t>울산 던전다이스</t>
        </is>
      </c>
      <c r="F90" s="50" t="inlineStr">
        <is>
          <t>010-5584-1487</t>
        </is>
      </c>
      <c r="G90" s="50" t="inlineStr">
        <is>
          <t>울산 남구 중앙로151번길 2, 2층</t>
        </is>
      </c>
      <c r="H90" s="50" t="str"/>
      <c r="I90" s="50" t="inlineStr">
        <is>
          <t>원피스 카드게임 공식 이벤트 개최 이력이 확인되는 지역 TCG 매장으로 카드 판매와 대회·교류 중심의 플레이 공간입니다.</t>
        </is>
      </c>
      <c r="J90" s="50" t="inlineStr">
        <is>
          <t>https://www.google.com/maps/search/?api=1&amp;query=%EC%9A%B8%EC%82%B0%20%EB%8D%98%EC%A0%84%EB%8B%A4%EC%9D%B4%EC%8A%A4%20%EC%9A%B8%EC%82%B0%20%EB%82%A8%EA%B5%AC%20%EC%A4%91%EC%95%99%EB%A1%9C151%EB%B2%88%EA%B8%B8%202%2C%202%EC%B8%B5</t>
        </is>
      </c>
      <c r="K90" s="51" t="inlineStr">
        <is>
          <t>2026-09-11</t>
        </is>
      </c>
      <c r="L90" s="178" t="inlineStr">
        <is>
          <t>없음</t>
        </is>
      </c>
      <c r="M90" s="178" t="n"/>
      <c r="N90" s="178" t="n"/>
      <c r="O90" s="178" t="n"/>
      <c r="P90" s="178" t="n"/>
      <c r="Q90" s="178" t="n"/>
      <c r="R90" s="178" t="n"/>
      <c r="S90" s="179" t="inlineStr">
        <is>
          <t>네이버 플레이스 미매칭 / 기각: udboardg:울산 동구 보드게임 모임(가게 아님), 매장 남구와 구 불일치</t>
        </is>
      </c>
    </row>
    <row r="91" ht="48" customHeight="1">
      <c r="A91" s="102" t="inlineStr">
        <is>
          <t>부산광역시</t>
        </is>
      </c>
      <c r="B91" s="103" t="inlineStr">
        <is>
          <t>01</t>
        </is>
      </c>
      <c r="C91" s="103" t="inlineStr">
        <is>
          <t>부산진</t>
        </is>
      </c>
      <c r="D91" s="103" t="n">
        <v>1</v>
      </c>
      <c r="E91" s="50" t="inlineStr">
        <is>
          <t>J클로버</t>
        </is>
      </c>
      <c r="F91" s="50" t="inlineStr">
        <is>
          <t>010-4937-6318</t>
        </is>
      </c>
      <c r="G91" s="50" t="inlineStr">
        <is>
          <t>부산 부산진구 중앙대로 905, 2층</t>
        </is>
      </c>
      <c r="H91" s="50" t="str"/>
      <c r="I91" s="50" t="inlineStr">
        <is>
          <t>원피스 카드게임 공식 이벤트 개최 이력이 확인되는 지역 TCG 매장으로 카드 판매와 대회·교류 중심의 플레이 공간입니다.</t>
        </is>
      </c>
      <c r="J91" s="50" t="inlineStr">
        <is>
          <t>https://www.google.com/maps/search/?api=1&amp;query=J%ED%81%B4%EB%A1%9C%EB%B2%84%20%EB%B6%80%EC%82%B0%20%EB%B6%80%EC%82%B0%EC%A7%84%EA%B5%AC%20%EC%A4%91%EC%95%99%EB%8C%80%EB%A1%9C%20905%2C%202%EC%B8%B5</t>
        </is>
      </c>
      <c r="K91" s="51" t="inlineStr">
        <is>
          <t>2026-09-11</t>
        </is>
      </c>
      <c r="L91" s="178" t="inlineStr">
        <is>
          <t>없음</t>
        </is>
      </c>
      <c r="M91" s="178" t="n"/>
      <c r="N91" s="178" t="n"/>
      <c r="O91" s="178" t="n"/>
      <c r="P91" s="178" t="n"/>
      <c r="Q91" s="178" t="n"/>
      <c r="R91" s="180" t="inlineStr">
        <is>
          <t>https://m.place.naver.com/place/1676236437/home</t>
        </is>
      </c>
      <c r="S91" s="179" t="n"/>
    </row>
    <row r="92" ht="48" customHeight="1">
      <c r="A92" s="102" t="inlineStr">
        <is>
          <t>부산광역시</t>
        </is>
      </c>
      <c r="B92" s="103" t="inlineStr">
        <is>
          <t>01</t>
        </is>
      </c>
      <c r="C92" s="103" t="inlineStr">
        <is>
          <t>부산진</t>
        </is>
      </c>
      <c r="D92" s="103" t="n">
        <v>2</v>
      </c>
      <c r="E92" s="50" t="inlineStr">
        <is>
          <t>보드게임공간 미니빌</t>
        </is>
      </c>
      <c r="F92" s="50" t="inlineStr">
        <is>
          <t>051-244-2818</t>
        </is>
      </c>
      <c r="G92" s="50" t="inlineStr">
        <is>
          <t>부산 부산진구 중앙대로692번길 33, 4층</t>
        </is>
      </c>
      <c r="H92" s="50" t="str"/>
      <c r="I92" s="50" t="inlineStr">
        <is>
          <t>원피스 카드게임 공식 이벤트 개최 이력이 확인되는 지역 TCG 매장으로 카드 판매와 대회·교류 중심의 플레이 공간입니다.</t>
        </is>
      </c>
      <c r="J92" s="50" t="inlineStr">
        <is>
          <t>https://www.google.com/maps/search/?api=1&amp;query=%EB%B3%B4%EB%93%9C%EA%B2%8C%EC%9E%84%EA%B3%B5%EA%B0%84%20%EB%AF%B8%EB%8B%88%EB%B9%8C%20%EB%B6%80%EC%82%B0%20%EB%B6%80%EC%82%B0%EC%A7%84%EA%B5%AC%20%EC%A4%91%EC%95%99%EB%8C%80%EB%A1%9C692%EB%B2%88%EA%B8%B8%2033%2C%204%EC%B8%B5</t>
        </is>
      </c>
      <c r="K92" s="51" t="inlineStr">
        <is>
          <t>2026-09-11</t>
        </is>
      </c>
      <c r="L92" s="178" t="inlineStr">
        <is>
          <t>@boardgame_cafe_miniville</t>
        </is>
      </c>
      <c r="M92" s="180" t="inlineStr">
        <is>
          <t>https://www.instagram.com/boardgame_cafe_miniville/</t>
        </is>
      </c>
      <c r="N92" s="180" t="inlineStr">
        <is>
          <t>https://scontent-icn2-1.cdninstagram.com/v/t51.2885-19/60326143_2047940975501969_1143401241443827712_n.jpg?stp=dst-jpg_s150x150_tt6&amp;_nc_cat=106&amp;ccb=7-5&amp;_nc_sid=f7ccc5&amp;efg=eyJ2ZW5jb2RlX3RhZyI6InByb2ZpbGVfcGljLnd3dy4xMDgwLkMzIn0%3D&amp;_nc_ohc=DqfVktWhcYEQ7kNvwFjXYTg&amp;_nc_oc=AdotdecOIE7tS01P0OmK7MGHdofMQjKlbIzDZyhoX-1JjnKXsT4T6yMydIoZWwXbOWk&amp;_nc_zt=24&amp;_nc_ht=scontent-icn2-1.cdninstagram.com&amp;_nc_ss=7fa02&amp;oh=00_AQLOMhAA8cWdiahR3G-vqqbZspW08AA5h7lpt1n5NQOt2g&amp;oe=6AA9EA2B</t>
        </is>
      </c>
      <c r="O92" s="178" t="inlineStr">
        <is>
          <t>인스타 프로필(단기 만료)</t>
        </is>
      </c>
      <c r="P92" s="178" t="n"/>
      <c r="Q92" s="178" t="n"/>
      <c r="R92" s="178" t="n"/>
      <c r="S92" s="179" t="inlineStr">
        <is>
          <t>상호+서면(부산진구) 지역 일치</t>
        </is>
      </c>
    </row>
    <row r="93" ht="48" customHeight="1">
      <c r="A93" s="102" t="inlineStr">
        <is>
          <t>부산광역시</t>
        </is>
      </c>
      <c r="B93" s="103" t="inlineStr">
        <is>
          <t>01</t>
        </is>
      </c>
      <c r="C93" s="103" t="inlineStr">
        <is>
          <t>부산진</t>
        </is>
      </c>
      <c r="D93" s="103" t="n">
        <v>3</v>
      </c>
      <c r="E93" s="50" t="inlineStr">
        <is>
          <t>서면 듀얼존</t>
        </is>
      </c>
      <c r="F93" s="50" t="inlineStr">
        <is>
          <t>010-7686-0424</t>
        </is>
      </c>
      <c r="G93" s="50" t="inlineStr">
        <is>
          <t>부산 부산진구 서전로37번길 14-1, B가동 302~303호</t>
        </is>
      </c>
      <c r="H93" s="50" t="str"/>
      <c r="I93" s="50" t="inlineStr">
        <is>
          <t>유희왕 공식 공인점포 목록에서 확인되는 서면·전포권 카드샵으로 대회와 듀얼 플레이 중심의 매장.</t>
        </is>
      </c>
      <c r="J93" s="50" t="inlineStr">
        <is>
          <t>https://www.google.com/maps/search/?api=1&amp;query=%EC%84%9C%EB%A9%B4%20%EB%93%80%EC%96%BC%EC%A1%B4%20%EB%B6%80%EC%82%B0%20%EB%B6%80%EC%82%B0%EC%A7%84%EA%B5%AC%20%EC%84%9C%EC%A0%84%EB%A1%9C37%EB%B2%88%EA%B8%B8%2014-1%2C%20B%EA%B0%80%EB%8F%99%20302~303%ED%98%B8</t>
        </is>
      </c>
      <c r="K93" s="51" t="inlineStr">
        <is>
          <t>2026-09-11</t>
        </is>
      </c>
      <c r="L93" s="178" t="inlineStr">
        <is>
          <t>없음</t>
        </is>
      </c>
      <c r="M93" s="178" t="n"/>
      <c r="N93" s="178" t="n"/>
      <c r="O93" s="178" t="n"/>
      <c r="P93" s="178" t="n"/>
      <c r="Q93" s="178" t="n"/>
      <c r="R93" s="180" t="inlineStr">
        <is>
          <t>https://m.place.naver.com/place/1794954779/home</t>
        </is>
      </c>
      <c r="S93" s="179" t="inlineStr">
        <is>
          <t>기각: mutgym_seomyeon:이름상 무관(헬스장) 추정, 미조회, ozpccafe:이름상 무관(PC방) 추정, 미조회</t>
        </is>
      </c>
    </row>
    <row r="94" ht="48" customHeight="1">
      <c r="A94" s="102" t="inlineStr">
        <is>
          <t>부산광역시</t>
        </is>
      </c>
      <c r="B94" s="103" t="inlineStr">
        <is>
          <t>02</t>
        </is>
      </c>
      <c r="C94" s="103" t="inlineStr">
        <is>
          <t>동래</t>
        </is>
      </c>
      <c r="D94" s="103" t="n">
        <v>1</v>
      </c>
      <c r="E94" s="50" t="inlineStr">
        <is>
          <t>카드베이스 부산</t>
        </is>
      </c>
      <c r="F94" s="50" t="inlineStr">
        <is>
          <t>010-9825-9697</t>
        </is>
      </c>
      <c r="G94" s="50" t="inlineStr">
        <is>
          <t>부산 동래구 명륜로129번길 54, 4층</t>
        </is>
      </c>
      <c r="H94" s="50" t="inlineStr">
        <is>
          <t>평일 14:00~22:00 / 주말 13:00~22:00</t>
        </is>
      </c>
      <c r="I94" s="50" t="inlineStr">
        <is>
          <t>포켓몬 공식 카드샵·이벤트와 원피스 공식 대회 이력이 함께 확인되는 멀티 TCG 매장으로 상품 구매와 플레이 이용이 가능합니다.</t>
        </is>
      </c>
      <c r="J94" s="50" t="inlineStr">
        <is>
          <t>https://www.google.com/maps/search/?api=1&amp;query=%EC%B9%B4%EB%93%9C%EB%B2%A0%EC%9D%B4%EC%8A%A4%20%EB%B6%80%EC%82%B0%20%EB%B6%80%EC%82%B0%20%EB%8F%99%EB%9E%98%EA%B5%AC%20%EB%AA%85%EB%A5%9C%EB%A1%9C129%EB%B2%88%EA%B8%B8%2054%2C%204%EC%B8%B5</t>
        </is>
      </c>
      <c r="K94" s="51" t="inlineStr">
        <is>
          <t>2026-09-11</t>
        </is>
      </c>
      <c r="L94" s="178" t="inlineStr">
        <is>
          <t>@pokemoncardshop_busan</t>
        </is>
      </c>
      <c r="M94" s="180" t="inlineStr">
        <is>
          <t>https://www.instagram.com/pokemoncardshop_busan/</t>
        </is>
      </c>
      <c r="N94" s="180" t="inlineStr">
        <is>
          <t>https://ldb-phinf.pstatic.net/20250915_10/1757913435669Rig1z_JPEG/KakaoTalk_20250912_135144468.jpg</t>
        </is>
      </c>
      <c r="O94" s="178" t="inlineStr">
        <is>
          <t>네이버 플레이스</t>
        </is>
      </c>
      <c r="P94" s="180" t="inlineStr">
        <is>
          <t>https://scontent-icn2-1.cdninstagram.com/v/t51.82787-19/546585008_17845820577564513_5779149049442676972_n.jpg?stp=dst-jpg_s150x150_tt6&amp;_nc_cat=101&amp;ccb=7-5&amp;_nc_sid=f7ccc5&amp;efg=eyJ2ZW5jb2RlX3RhZyI6InByb2ZpbGVfcGljLnd3dy4xMDUwLkMzIn0%3D&amp;_nc_ohc=ANdAR2CstHMQ7kNvwEpIXLc&amp;_nc_oc=AdrNxsuXhxkPV4nWWtbAqH3Zlz1OHqqYhbhsHt-VOtq9x8v78tj6Dvx9t_jRFJLpabA&amp;_nc_zt=24&amp;_nc_ht=scontent-icn2-1.cdninstagram.com&amp;_nc_gid=3fCBuLrBuGZqtV_aqtB2Yw&amp;_nc_ss=7fa02&amp;oh=00_AQLFu4yHB7KBUITptgpDlso8jgI41-TSCgHpPVWdYzIuEA&amp;oe=6AA9A9BC</t>
        </is>
      </c>
      <c r="Q94" s="178" t="n"/>
      <c r="R94" s="180" t="inlineStr">
        <is>
          <t>https://m.place.naver.com/place/2038398302/home</t>
        </is>
      </c>
      <c r="S94" s="179" t="inlineStr">
        <is>
          <t>완전 일치(ig_high)</t>
        </is>
      </c>
    </row>
    <row r="95" ht="48" customHeight="1">
      <c r="A95" s="102" t="inlineStr">
        <is>
          <t>부산광역시</t>
        </is>
      </c>
      <c r="B95" s="103" t="inlineStr">
        <is>
          <t>02</t>
        </is>
      </c>
      <c r="C95" s="103" t="inlineStr">
        <is>
          <t>동래</t>
        </is>
      </c>
      <c r="D95" s="103" t="n">
        <v>2</v>
      </c>
      <c r="E95" s="50" t="inlineStr">
        <is>
          <t>티씨지샵 셔플</t>
        </is>
      </c>
      <c r="F95" s="50" t="inlineStr">
        <is>
          <t>010-9540-0059</t>
        </is>
      </c>
      <c r="G95" s="50" t="inlineStr">
        <is>
          <t>부산 동래구 충렬대로126번길 38, 지하 1층</t>
        </is>
      </c>
      <c r="H95" s="50" t="str"/>
      <c r="I95" s="50" t="inlineStr">
        <is>
          <t>유희왕 공식 공인점포로 확인되는 동래 지역 TCG 매장으로 카드 판매와 대회·플레이 운영이 중심인 샵.</t>
        </is>
      </c>
      <c r="J95" s="50" t="inlineStr">
        <is>
          <t>https://www.google.com/maps/search/?api=1&amp;query=%ED%8B%B0%EC%94%A8%EC%A7%80%EC%83%B5%20%EC%85%94%ED%94%8C%20%EB%B6%80%EC%82%B0%20%EB%8F%99%EB%9E%98%EA%B5%AC%20%EC%B6%A9%EB%A0%AC%EB%8C%80%EB%A1%9C126%EB%B2%88%EA%B8%B8%2038%2C%20%EC%A7%80%ED%95%98%201%EC%B8%B5</t>
        </is>
      </c>
      <c r="K95" s="51" t="inlineStr">
        <is>
          <t>2026-09-11</t>
        </is>
      </c>
      <c r="L95" s="178" t="inlineStr">
        <is>
          <t>없음</t>
        </is>
      </c>
      <c r="M95" s="178" t="n"/>
      <c r="N95" s="180" t="inlineStr">
        <is>
          <t>https://ldb-phinf.pstatic.net/20231212_185/1702391377203Qkf4e_JPEG/20231212_232333.jpg</t>
        </is>
      </c>
      <c r="O95" s="178" t="inlineStr">
        <is>
          <t>네이버 플레이스</t>
        </is>
      </c>
      <c r="P95" s="178" t="n"/>
      <c r="Q95" s="178" t="n"/>
      <c r="R95" s="180" t="inlineStr">
        <is>
          <t>https://m.place.naver.com/place/1199611993/home</t>
        </is>
      </c>
      <c r="S95" s="179" t="n"/>
    </row>
    <row r="96" ht="48" customHeight="1">
      <c r="A96" s="102" t="inlineStr">
        <is>
          <t>부산광역시</t>
        </is>
      </c>
      <c r="B96" s="103" t="inlineStr">
        <is>
          <t>03</t>
        </is>
      </c>
      <c r="C96" s="103" t="inlineStr">
        <is>
          <t>남</t>
        </is>
      </c>
      <c r="D96" s="103" t="n">
        <v>1</v>
      </c>
      <c r="E96" s="50" t="inlineStr">
        <is>
          <t>티씨지드로우</t>
        </is>
      </c>
      <c r="F96" s="50" t="inlineStr">
        <is>
          <t>0507-1331-3065</t>
        </is>
      </c>
      <c r="G96" s="50" t="inlineStr">
        <is>
          <t>부산 남구 수영로298번길 37, 용수빌딩 6층</t>
        </is>
      </c>
      <c r="H96" s="50" t="str"/>
      <c r="I96" s="50" t="inlineStr">
        <is>
          <t>원피스 카드게임 공식 이벤트 개최 이력이 확인되는 지역 TCG 매장으로 카드 판매와 대회·교류 중심의 플레이 공간입니다.</t>
        </is>
      </c>
      <c r="J96" s="50" t="inlineStr">
        <is>
          <t>https://www.google.com/maps/search/?api=1&amp;query=%ED%8B%B0%EC%94%A8%EC%A7%80%EB%93%9C%EB%A1%9C%EC%9A%B0%20%EB%B6%80%EC%82%B0%20%EB%82%A8%EA%B5%AC%20%EC%88%98%EC%98%81%EB%A1%9C298%EB%B2%88%EA%B8%B8%2037%2C%20%EC%9A%A9%EC%88%98%EB%B9%8C%EB%94%A9%206%EC%B8%B5</t>
        </is>
      </c>
      <c r="K96" s="51" t="inlineStr">
        <is>
          <t>2026-09-11</t>
        </is>
      </c>
      <c r="L96" s="178" t="inlineStr">
        <is>
          <t>없음</t>
        </is>
      </c>
      <c r="M96" s="178" t="n"/>
      <c r="N96" s="180" t="inlineStr">
        <is>
          <t>https://ldb-phinf.pstatic.net/20260516_244/1778928782317ltOS6_JPEG/%C6%F7%C4%CF%B8%F3.jpg</t>
        </is>
      </c>
      <c r="O96" s="178" t="inlineStr">
        <is>
          <t>네이버 플레이스</t>
        </is>
      </c>
      <c r="P96" s="178" t="n"/>
      <c r="Q96" s="178" t="n"/>
      <c r="R96" s="180" t="inlineStr">
        <is>
          <t>https://m.place.naver.com/place/1497083887/home</t>
        </is>
      </c>
      <c r="S96" s="179" t="inlineStr">
        <is>
          <t>기각: kamerpower:이름상 무관 추정, 미조회</t>
        </is>
      </c>
    </row>
    <row r="97" ht="48" customHeight="1">
      <c r="A97" s="102" t="inlineStr">
        <is>
          <t>부산광역시</t>
        </is>
      </c>
      <c r="B97" s="103" t="inlineStr">
        <is>
          <t>03</t>
        </is>
      </c>
      <c r="C97" s="103" t="inlineStr">
        <is>
          <t>남</t>
        </is>
      </c>
      <c r="D97" s="103" t="n">
        <v>2</v>
      </c>
      <c r="E97" s="50" t="inlineStr">
        <is>
          <t>포춘팩토리</t>
        </is>
      </c>
      <c r="F97" s="50" t="inlineStr">
        <is>
          <t>0507-1328-1629</t>
        </is>
      </c>
      <c r="G97" s="50" t="inlineStr">
        <is>
          <t>부산 남구 수영로298번길 21, 지하 1층</t>
        </is>
      </c>
      <c r="H97" s="50" t="str"/>
      <c r="I97" s="50" t="inlineStr">
        <is>
          <t>부산 남구의 TCG 매장으로 공식 카드게임 강습회 점포 목록에서 확인되는 지역 플레이·이벤트 공간.</t>
        </is>
      </c>
      <c r="J97" s="50" t="inlineStr">
        <is>
          <t>https://www.google.com/maps/search/?api=1&amp;query=%ED%8F%AC%EC%B6%98%ED%8C%A9%ED%86%A0%EB%A6%AC%20%EB%B6%80%EC%82%B0%20%EB%82%A8%EA%B5%AC%20%EC%88%98%EC%98%81%EB%A1%9C298%EB%B2%88%EA%B8%B8%2021%2C%20%EC%A7%80%ED%95%98%201%EC%B8%B5</t>
        </is>
      </c>
      <c r="K97" s="51" t="inlineStr">
        <is>
          <t>2026-09-11</t>
        </is>
      </c>
      <c r="L97" s="178" t="inlineStr">
        <is>
          <t>@fortunefactory</t>
        </is>
      </c>
      <c r="M97" s="180" t="inlineStr">
        <is>
          <t>https://www.instagram.com/fortunefactory/</t>
        </is>
      </c>
      <c r="N97" s="180" t="inlineStr">
        <is>
          <t>https://ldb-phinf.pstatic.net/20260909_179/1788950540543OTaWz_JPEG/%BB%F5%BD%CF%C0%FC_2%C8%B8-3.jpg</t>
        </is>
      </c>
      <c r="O97" s="178" t="inlineStr">
        <is>
          <t>네이버 플레이스</t>
        </is>
      </c>
      <c r="P97" s="180" t="inlineStr">
        <is>
          <t>https://scontent-icn2-1.cdninstagram.com/v/t51.2885-19/81429927_807639743013120_5803287981322141696_n.jpg?stp=dst-jpg_s150x150_tt6&amp;_nc_cat=103&amp;ccb=7-5&amp;_nc_sid=f7ccc5&amp;efg=eyJ2ZW5jb2RlX3RhZyI6InByb2ZpbGVfcGljLnd3dy45NjAuQzMifQ%3D%3D&amp;_nc_ohc=GToFwzayAJ0Q7kNvwHXGM1M&amp;_nc_oc=AdqScMdKVipdIsGLyRk3vSHIV6brhy_ckNLA6wpEXHRTopfyASDpdATmEi42bDefnPA&amp;_nc_zt=24&amp;_nc_ht=scontent-icn2-1.cdninstagram.com&amp;_nc_ss=7f60f&amp;oh=00_AQIt2RkE6oUZu8QqD4jIzi08yPn2AhOr_HkXeFHpQKX7Lw&amp;oe=6AA99242</t>
        </is>
      </c>
      <c r="Q97" s="178" t="n"/>
      <c r="R97" s="180" t="inlineStr">
        <is>
          <t>https://m.place.naver.com/place/37434450/home</t>
        </is>
      </c>
      <c r="S97" s="179" t="inlineStr">
        <is>
          <t>브랜드 계정(1호점, 남구 경성대/부경대 상권), 이름 완전 일치(ig_high)</t>
        </is>
      </c>
    </row>
    <row r="98" ht="48" customHeight="1">
      <c r="A98" s="102" t="inlineStr">
        <is>
          <t>부산광역시</t>
        </is>
      </c>
      <c r="B98" s="103" t="inlineStr">
        <is>
          <t>04</t>
        </is>
      </c>
      <c r="C98" s="103" t="inlineStr">
        <is>
          <t>수영</t>
        </is>
      </c>
      <c r="D98" s="103" t="n">
        <v>1</v>
      </c>
      <c r="E98" s="50" t="inlineStr">
        <is>
          <t>부산더락</t>
        </is>
      </c>
      <c r="F98" s="50" t="inlineStr">
        <is>
          <t>051-907-8074</t>
        </is>
      </c>
      <c r="G98" s="50" t="inlineStr">
        <is>
          <t>부산 수영구 수영동 444-15, 2층</t>
        </is>
      </c>
      <c r="H98" s="50" t="str"/>
      <c r="I98" s="50" t="inlineStr">
        <is>
          <t>부산 수영구의 TCG 전문점으로 MTG 상품·대회 및 온라인 TCG 판매를 함께 운영하는 매장.</t>
        </is>
      </c>
      <c r="J98" s="50" t="inlineStr">
        <is>
          <t>https://www.google.com/maps/search/?api=1&amp;query=%EB%B6%80%EC%82%B0%EB%8D%94%EB%9D%BD%20%EB%B6%80%EC%82%B0%20%EC%88%98%EC%98%81%EA%B5%AC%20%EC%88%98%EC%98%81%EB%8F%99%20444-15%2C%202%EC%B8%B5</t>
        </is>
      </c>
      <c r="K98" s="51" t="inlineStr">
        <is>
          <t>2026-09-11</t>
        </is>
      </c>
      <c r="L98" s="178" t="inlineStr">
        <is>
          <t>@busantherak</t>
        </is>
      </c>
      <c r="M98" s="180" t="inlineStr">
        <is>
          <t>https://www.instagram.com/busantherak/</t>
        </is>
      </c>
      <c r="N98" s="180" t="inlineStr">
        <is>
          <t>https://scontent-icn2-1.cdninstagram.com/v/t51.82787-19/631002986_17843380524687041_3579115282959286250_n.jpg?stp=dst-jpg_s150x150_tt6&amp;_nc_cat=110&amp;ccb=7-5&amp;_nc_sid=f7ccc5&amp;efg=eyJ2ZW5jb2RlX3RhZyI6InByb2ZpbGVfcGljLnd3dy4xMDgwLkMzIn0%3D&amp;_nc_ohc=akbSTyYJKA4Q7kNvwHnlwAi&amp;_nc_oc=AdpjWU7htQ9k-n9f6vsfEZ5-w-IIDdjV-TajryYs1O3zzl3I-GYwDzTxlDprhJRjzk4&amp;_nc_zt=24&amp;_nc_ht=scontent-icn2-1.cdninstagram.com&amp;_nc_gid=J7RTVEfOuB7PGg7RQSTUVA&amp;_nc_ss=7fa02&amp;oh=00_AQJKGFz9j1PFhY61RUOE-Yy3fH7Jt8k0nLRUGJjL2UGfIg&amp;oe=6AAA0479</t>
        </is>
      </c>
      <c r="O98" s="178" t="inlineStr">
        <is>
          <t>인스타 프로필(단기 만료)</t>
        </is>
      </c>
      <c r="P98" s="178" t="n"/>
      <c r="Q98" s="178" t="n"/>
      <c r="R98" s="180" t="inlineStr">
        <is>
          <t>https://m.place.naver.com/place/37408041/home</t>
        </is>
      </c>
      <c r="S98" s="179" t="inlineStr">
        <is>
          <t>상호+주소(수영동 444-15) 완전 일치</t>
        </is>
      </c>
    </row>
    <row r="99" ht="48" customHeight="1">
      <c r="A99" s="102" t="inlineStr">
        <is>
          <t>경상남도</t>
        </is>
      </c>
      <c r="B99" s="103" t="inlineStr">
        <is>
          <t>01</t>
        </is>
      </c>
      <c r="C99" s="103" t="inlineStr">
        <is>
          <t>창원</t>
        </is>
      </c>
      <c r="D99" s="103" t="n">
        <v>1</v>
      </c>
      <c r="E99" s="50" t="inlineStr">
        <is>
          <t>TCG GYM</t>
        </is>
      </c>
      <c r="F99" s="50" t="inlineStr">
        <is>
          <t>010-2217-7274</t>
        </is>
      </c>
      <c r="G99" s="50" t="inlineStr">
        <is>
          <t>경남 창원시 의창구 남산로17번길 2, 2층</t>
        </is>
      </c>
      <c r="H99" s="50" t="str"/>
      <c r="I99" s="50" t="inlineStr">
        <is>
          <t>포켓몬 공식 카드샵·이벤트와 원피스 공식 대회 이력이 함께 확인되는 멀티 TCG 매장으로 상품 구매와 플레이 이용이 가능합니다.</t>
        </is>
      </c>
      <c r="J99" s="50" t="inlineStr">
        <is>
          <t>https://www.google.com/maps/search/?api=1&amp;query=TCG%20GYM%20%EA%B2%BD%EB%82%A8%20%EC%B0%BD%EC%9B%90%EC%8B%9C%20%EC%9D%98%EC%B0%BD%EA%B5%AC%20%EB%82%A8%EC%82%B0%EB%A1%9C17%EB%B2%88%EA%B8%B8%202%2C%202%EC%B8%B5</t>
        </is>
      </c>
      <c r="K99" s="51" t="inlineStr">
        <is>
          <t>2026-09-11</t>
        </is>
      </c>
      <c r="L99" s="178" t="inlineStr">
        <is>
          <t>@korkr1</t>
        </is>
      </c>
      <c r="M99" s="180" t="inlineStr">
        <is>
          <t>https://www.instagram.com/korkr1/</t>
        </is>
      </c>
      <c r="N99" s="180" t="inlineStr">
        <is>
          <t>https://ldb-phinf.pstatic.net/20260131_103/1769863247972E3pi6_JPEG/1000023533.jpg</t>
        </is>
      </c>
      <c r="O99" s="178" t="inlineStr">
        <is>
          <t>네이버 플레이스</t>
        </is>
      </c>
      <c r="P99" s="180" t="inlineStr">
        <is>
          <t>https://scontent-icn2-1.cdninstagram.com/v/t51.2885-19/438454074_266863139849224_7190106814264244219_n.jpg?stp=dst-jpg_s150x150_tt6&amp;_nc_cat=109&amp;ccb=7-5&amp;_nc_sid=f7ccc5&amp;efg=eyJ2ZW5jb2RlX3RhZyI6InByb2ZpbGVfcGljLnd3dy4xMDgwLkMzIn0%3D&amp;_nc_ohc=upp2Tvg2l6wQ7kNvwFBrk2O&amp;_nc_oc=AdoPo8O3D_tQYG7uI37EP5t3DnKq54twLUeJADbYaG0HXu2qloEe16JIDhSFOkpF13Q&amp;_nc_zt=24&amp;_nc_ht=scontent-icn2-1.cdninstagram.com&amp;_nc_ss=7fa02&amp;oh=00_AQKto72lEmxNCVnvC7O0poZ-Kk7mXQV6ZUsIlD32Tfh4yQ&amp;oe=6AAA0816</t>
        </is>
      </c>
      <c r="Q99" s="178" t="n"/>
      <c r="R99" s="180" t="inlineStr">
        <is>
          <t>https://m.place.naver.com/place/1451790555/home</t>
        </is>
      </c>
      <c r="S99" s="179" t="inlineStr">
        <is>
          <t>원 후보(tcggymcafe)가 새 계정 korkr1로 이전 안내함, 창원 지역 일치로 korkr1 채택</t>
        </is>
      </c>
    </row>
    <row r="100" ht="48" customHeight="1">
      <c r="A100" s="102" t="inlineStr">
        <is>
          <t>경상남도</t>
        </is>
      </c>
      <c r="B100" s="103" t="inlineStr">
        <is>
          <t>01</t>
        </is>
      </c>
      <c r="C100" s="103" t="inlineStr">
        <is>
          <t>창원</t>
        </is>
      </c>
      <c r="D100" s="103" t="n">
        <v>2</v>
      </c>
      <c r="E100" s="50" t="inlineStr">
        <is>
          <t>마블보드게임</t>
        </is>
      </c>
      <c r="F100" s="50" t="inlineStr">
        <is>
          <t>055-266-1980</t>
        </is>
      </c>
      <c r="G100" s="50" t="inlineStr">
        <is>
          <t>경남 창원시 성산구 원이대로589번길 6-5, 2층</t>
        </is>
      </c>
      <c r="H100" s="50" t="str"/>
      <c r="I100" s="50" t="inlineStr">
        <is>
          <t>원피스 카드게임 공식 이벤트 개최 이력이 확인되는 지역 TCG 매장으로 카드 판매와 대회·교류 중심의 플레이 공간입니다.</t>
        </is>
      </c>
      <c r="J100" s="50" t="inlineStr">
        <is>
          <t>https://www.google.com/maps/search/?api=1&amp;query=%EB%A7%88%EB%B8%94%EB%B3%B4%EB%93%9C%EA%B2%8C%EC%9E%84%20%EA%B2%BD%EB%82%A8%20%EC%B0%BD%EC%9B%90%EC%8B%9C%20%EC%84%B1%EC%82%B0%EA%B5%AC%20%EC%9B%90%EC%9D%B4%EB%8C%80%EB%A1%9C589%EB%B2%88%EA%B8%B8%206-5%2C%202%EC%B8%B5</t>
        </is>
      </c>
      <c r="K100" s="51" t="inlineStr">
        <is>
          <t>2026-09-11</t>
        </is>
      </c>
      <c r="L100" s="178" t="inlineStr">
        <is>
          <t>없음</t>
        </is>
      </c>
      <c r="M100" s="178" t="n"/>
      <c r="N100" s="180" t="inlineStr">
        <is>
          <t>https://ldb-phinf.pstatic.net/20190724_187/1563915872623YSzYI_JPEG/2ZcWPsaSeEpb-PYVC110WrGf.jpg</t>
        </is>
      </c>
      <c r="O100" s="178" t="inlineStr">
        <is>
          <t>네이버 플레이스</t>
        </is>
      </c>
      <c r="P100" s="178" t="n"/>
      <c r="Q100" s="178" t="n"/>
      <c r="R100" s="180" t="inlineStr">
        <is>
          <t>https://m.place.naver.com/place/1628471418/home</t>
        </is>
      </c>
      <c r="S100" s="179" t="inlineStr">
        <is>
          <t>기각: gonggan27_toy:공간27(다른 브랜드명 보드게임카페), 이름 불일치</t>
        </is>
      </c>
    </row>
    <row r="101" ht="48" customHeight="1">
      <c r="A101" s="102" t="inlineStr">
        <is>
          <t>경상남도</t>
        </is>
      </c>
      <c r="B101" s="103" t="inlineStr">
        <is>
          <t>01</t>
        </is>
      </c>
      <c r="C101" s="103" t="inlineStr">
        <is>
          <t>창원</t>
        </is>
      </c>
      <c r="D101" s="103" t="n">
        <v>3</v>
      </c>
      <c r="E101" s="50" t="inlineStr">
        <is>
          <t>창원 앨리스</t>
        </is>
      </c>
      <c r="F101" s="50" t="inlineStr">
        <is>
          <t>010-4848-7642</t>
        </is>
      </c>
      <c r="G101" s="50" t="inlineStr">
        <is>
          <t>경남 창원시 성산구 반지로16번길 29-1</t>
        </is>
      </c>
      <c r="H101" s="50" t="str"/>
      <c r="I101" s="50" t="inlineStr">
        <is>
          <t>창원 지역에서 공식 카드게임 이벤트 개최 이력이 확인되는 TCG 매장으로 대회·교류 중심의 지역 거점.</t>
        </is>
      </c>
      <c r="J101" s="50" t="inlineStr">
        <is>
          <t>https://www.google.com/maps/search/?api=1&amp;query=%EC%B0%BD%EC%9B%90%20%EC%95%A8%EB%A6%AC%EC%8A%A4%20%EA%B2%BD%EB%82%A8%20%EC%B0%BD%EC%9B%90%EC%8B%9C%20%EC%84%B1%EC%82%B0%EA%B5%AC%20%EB%B0%98%EC%A7%80%EB%A1%9C16%EB%B2%88%EA%B8%B8%2029-1</t>
        </is>
      </c>
      <c r="K101" s="51" t="inlineStr">
        <is>
          <t>2026-09-11</t>
        </is>
      </c>
      <c r="L101" s="178" t="inlineStr">
        <is>
          <t>없음</t>
        </is>
      </c>
      <c r="M101" s="178" t="n"/>
      <c r="N101" s="178" t="n"/>
      <c r="O101" s="178" t="n"/>
      <c r="P101" s="178" t="n"/>
      <c r="Q101" s="178" t="n"/>
      <c r="R101" s="180" t="inlineStr">
        <is>
          <t>https://m.place.naver.com/place/1204627405/home</t>
        </is>
      </c>
      <c r="S101" s="179" t="inlineStr">
        <is>
          <t>기각: alliswell.coffeehaus:이름상 무관(카페) 추정, 미조회, kmgirl1004:이름상 무관 추정, 미조회</t>
        </is>
      </c>
    </row>
    <row r="102" ht="48" customHeight="1">
      <c r="A102" s="102" t="inlineStr">
        <is>
          <t>경상남도</t>
        </is>
      </c>
      <c r="B102" s="103" t="inlineStr">
        <is>
          <t>01</t>
        </is>
      </c>
      <c r="C102" s="103" t="inlineStr">
        <is>
          <t>창원</t>
        </is>
      </c>
      <c r="D102" s="103" t="n">
        <v>4</v>
      </c>
      <c r="E102" s="50" t="inlineStr">
        <is>
          <t>카드엘릭서</t>
        </is>
      </c>
      <c r="F102" s="50" t="inlineStr">
        <is>
          <t>010-8794-9194</t>
        </is>
      </c>
      <c r="G102" s="50" t="inlineStr">
        <is>
          <t>경남 창원시 마산회원구 합성남7길 31, 3층</t>
        </is>
      </c>
      <c r="H102" s="50" t="str"/>
      <c r="I102" s="50" t="inlineStr">
        <is>
          <t>유희왕·뱅가드·디지몬 등 여러 TCG를 취급하며 주중·주말 대회를 운영하는 마산의 TCG 카드샵 &amp; 카페.</t>
        </is>
      </c>
      <c r="J102" s="50" t="inlineStr">
        <is>
          <t>https://www.google.com/maps/search/?api=1&amp;query=%EC%B9%B4%EB%93%9C%EC%97%98%EB%A6%AD%EC%84%9C%20%EA%B2%BD%EB%82%A8%20%EC%B0%BD%EC%9B%90%EC%8B%9C%20%EB%A7%88%EC%82%B0%ED%9A%8C%EC%9B%90%EA%B5%AC%20%ED%95%A9%EC%84%B1%EB%82%A87%EA%B8%B8%2031%2C%203%EC%B8%B5</t>
        </is>
      </c>
      <c r="K102" s="51" t="inlineStr">
        <is>
          <t>2026-09-11</t>
        </is>
      </c>
      <c r="L102" s="178" t="inlineStr">
        <is>
          <t>@cardelixir_01</t>
        </is>
      </c>
      <c r="M102" s="180" t="inlineStr">
        <is>
          <t>https://www.instagram.com/cardelixir_01/</t>
        </is>
      </c>
      <c r="N102" s="180" t="inlineStr">
        <is>
          <t>https://scontent-icn2-1.cdninstagram.com/v/t51.82787-19/760192577_18057644129566231_4204041799292419440_n.jpg?stp=dst-jpg_s150x150_tt6&amp;_nc_cat=103&amp;ccb=7-5&amp;_nc_sid=f7ccc5&amp;efg=eyJ2ZW5jb2RlX3RhZyI6InByb2ZpbGVfcGljLnd3dy45MjIuQzMifQ%3D%3D&amp;_nc_ohc=I-mwv22ZoPIQ7kNvwFHW89r&amp;_nc_oc=AdpUQRpfj3QidyRrOLLc41500bWmBiPPJT4HdTFtRw1nHWb8PIV0B5nDXKo7xw07anU&amp;_nc_zt=24&amp;_nc_ht=scontent-icn2-1.cdninstagram.com&amp;_nc_gid=QH5bqr_iNdgLnPNEEJNXvg&amp;_nc_ss=7fa02&amp;oh=00_AQJ7FhNHzcm1ah0OctfKySfassLhLJSBqfRJ6HwxjOg7fw&amp;oe=6AAA0691</t>
        </is>
      </c>
      <c r="O102" s="178" t="inlineStr">
        <is>
          <t>인스타 프로필(단기 만료)</t>
        </is>
      </c>
      <c r="P102" s="178" t="n"/>
      <c r="Q102" s="178" t="n"/>
      <c r="R102" s="180" t="inlineStr">
        <is>
          <t>https://m.place.naver.com/place/2097527194/home</t>
        </is>
      </c>
      <c r="S102" s="179" t="inlineStr">
        <is>
          <t>상호+주소(합성남7길 31, 3층) 완전 일치</t>
        </is>
      </c>
    </row>
    <row r="103" ht="48" customHeight="1">
      <c r="A103" s="102" t="inlineStr">
        <is>
          <t>경상남도</t>
        </is>
      </c>
      <c r="B103" s="103" t="inlineStr">
        <is>
          <t>02</t>
        </is>
      </c>
      <c r="C103" s="103" t="inlineStr">
        <is>
          <t>진주</t>
        </is>
      </c>
      <c r="D103" s="103" t="n">
        <v>1</v>
      </c>
      <c r="E103" s="50" t="inlineStr">
        <is>
          <t>진주 TCG팩토리</t>
        </is>
      </c>
      <c r="F103" s="50" t="inlineStr">
        <is>
          <t>010-4949-8387</t>
        </is>
      </c>
      <c r="G103" s="50" t="inlineStr">
        <is>
          <t>경남 진주시 진양호로547번길 5, 2층</t>
        </is>
      </c>
      <c r="H103" s="50" t="str"/>
      <c r="I103" s="50" t="inlineStr">
        <is>
          <t>포켓몬 공식 카드샵·이벤트와 원피스 공식 대회 이력이 함께 확인되는 멀티 TCG 매장으로 상품 구매와 플레이 이용이 가능합니다.</t>
        </is>
      </c>
      <c r="J103" s="50" t="inlineStr">
        <is>
          <t>https://www.google.com/maps/search/?api=1&amp;query=%EC%A7%84%EC%A3%BC%20TCG%ED%8C%A9%ED%86%A0%EB%A6%AC%20%EA%B2%BD%EB%82%A8%20%EC%A7%84%EC%A3%BC%EC%8B%9C%20%EC%A7%84%EC%96%91%ED%98%B8%EB%A1%9C547%EB%B2%88%EA%B8%B8%205%2C%202%EC%B8%B5</t>
        </is>
      </c>
      <c r="K103" s="51" t="inlineStr">
        <is>
          <t>2026-09-11</t>
        </is>
      </c>
      <c r="L103" s="178" t="inlineStr">
        <is>
          <t>없음</t>
        </is>
      </c>
      <c r="M103" s="178" t="n"/>
      <c r="N103" s="180" t="inlineStr">
        <is>
          <t>https://ldb-phinf.pstatic.net/20250427_72/1745726155001Yyq2m_JPEG/KakaoTalk_20250427_125256522.jpg</t>
        </is>
      </c>
      <c r="O103" s="178" t="inlineStr">
        <is>
          <t>네이버 플레이스</t>
        </is>
      </c>
      <c r="P103" s="178" t="n"/>
      <c r="Q103" s="178" t="n"/>
      <c r="R103" s="180" t="inlineStr">
        <is>
          <t>https://m.place.naver.com/place/1814818132/home</t>
        </is>
      </c>
      <c r="S103" s="179" t="inlineStr">
        <is>
          <t>기각: young_.gjt:NOT_FOUND(hl=en, hl=ko 재시도), humanrightsdefensecenter:이름상 무관(인권센터) 추정, 미조회</t>
        </is>
      </c>
    </row>
    <row r="104" ht="48" customHeight="1">
      <c r="A104" s="102" t="inlineStr">
        <is>
          <t>경상남도</t>
        </is>
      </c>
      <c r="B104" s="103" t="inlineStr">
        <is>
          <t>03</t>
        </is>
      </c>
      <c r="C104" s="103" t="inlineStr">
        <is>
          <t>양산</t>
        </is>
      </c>
      <c r="D104" s="103" t="n">
        <v>1</v>
      </c>
      <c r="E104" s="50" t="inlineStr">
        <is>
          <t>카드캐처</t>
        </is>
      </c>
      <c r="F104" s="50" t="inlineStr">
        <is>
          <t>0507-1384-2222</t>
        </is>
      </c>
      <c r="G104" s="50" t="inlineStr">
        <is>
          <t>경남 양산시 양산역로 69, 4층 402호</t>
        </is>
      </c>
      <c r="H104" s="50" t="str"/>
      <c r="I104" s="50" t="inlineStr">
        <is>
          <t>원피스 카드게임 공식 이벤트 개최 이력이 확인되는 지역 TCG 매장으로 카드 판매와 대회·교류 중심의 플레이 공간입니다.</t>
        </is>
      </c>
      <c r="J104" s="50" t="inlineStr">
        <is>
          <t>https://www.google.com/maps/search/?api=1&amp;query=%EC%B9%B4%EB%93%9C%EC%BA%90%EC%B2%98%20%EA%B2%BD%EB%82%A8%20%EC%96%91%EC%82%B0%EC%8B%9C%20%EC%96%91%EC%82%B0%EC%97%AD%EB%A1%9C%2069%2C%204%EC%B8%B5%20402%ED%98%B8</t>
        </is>
      </c>
      <c r="K104" s="51" t="inlineStr">
        <is>
          <t>2026-09-11</t>
        </is>
      </c>
      <c r="L104" s="178" t="inlineStr">
        <is>
          <t>없음</t>
        </is>
      </c>
      <c r="M104" s="178" t="n"/>
      <c r="N104" s="180" t="inlineStr">
        <is>
          <t>https://ldb-phinf.pstatic.net/20241024_127/1729772377942uTSXG_JPEG/KakaoTalk_20241024_210918773.jpg</t>
        </is>
      </c>
      <c r="O104" s="178" t="inlineStr">
        <is>
          <t>네이버 플레이스</t>
        </is>
      </c>
      <c r="P104" s="178" t="n"/>
      <c r="Q104" s="178" t="n"/>
      <c r="R104" s="180" t="inlineStr">
        <is>
          <t>https://m.place.naver.com/place/1524861210/home</t>
        </is>
      </c>
      <c r="S104" s="179" t="inlineStr">
        <is>
          <t>기각: jecheoncom:이름상 무관(제천시 계정 추정), 미조회</t>
        </is>
      </c>
    </row>
    <row r="105" ht="48" customHeight="1">
      <c r="A105" s="102" t="inlineStr">
        <is>
          <t>경상남도</t>
        </is>
      </c>
      <c r="B105" s="103" t="inlineStr">
        <is>
          <t>04</t>
        </is>
      </c>
      <c r="C105" s="103" t="inlineStr">
        <is>
          <t>김해</t>
        </is>
      </c>
      <c r="D105" s="103" t="n">
        <v>1</v>
      </c>
      <c r="E105" s="50" t="inlineStr">
        <is>
          <t>티씨지 플레이존</t>
        </is>
      </c>
      <c r="F105" s="50" t="inlineStr">
        <is>
          <t>공개 대표번호 미확인</t>
        </is>
      </c>
      <c r="G105" s="50" t="inlineStr">
        <is>
          <t>경남 김해시 능등로155번길 10-5, 5층 504호</t>
        </is>
      </c>
      <c r="H105" s="50" t="str"/>
      <c r="I105" s="50" t="inlineStr">
        <is>
          <t>원피스 카드게임 공식 이벤트 개최 이력이 확인되는 지역 TCG 매장으로 카드 판매와 대회·교류 중심의 플레이 공간입니다.</t>
        </is>
      </c>
      <c r="J105" s="50" t="inlineStr">
        <is>
          <t>https://www.google.com/maps/search/?api=1&amp;query=%ED%8B%B0%EC%94%A8%EC%A7%80%20%ED%94%8C%EB%A0%88%EC%9D%B4%EC%A1%B4%20%EA%B2%BD%EB%82%A8%20%EA%B9%80%ED%95%B4%EC%8B%9C%20%EB%8A%A5%EB%93%B1%EB%A1%9C155%EB%B2%88%EA%B8%B8%2010-5%2C%205%EC%B8%B5%20504%ED%98%B8</t>
        </is>
      </c>
      <c r="K105" s="51" t="inlineStr">
        <is>
          <t>2026-09-11</t>
        </is>
      </c>
      <c r="L105" s="178" t="inlineStr">
        <is>
          <t>없음</t>
        </is>
      </c>
      <c r="M105" s="178" t="n"/>
      <c r="N105" s="180" t="inlineStr">
        <is>
          <t>https://ldb-phinf.pstatic.net/20260620_288/1781890788375NpWtj_JPEG/IMG_0468.jpg</t>
        </is>
      </c>
      <c r="O105" s="178" t="inlineStr">
        <is>
          <t>네이버 플레이스</t>
        </is>
      </c>
      <c r="P105" s="178" t="n"/>
      <c r="Q105" s="178" t="n"/>
      <c r="R105" s="180" t="inlineStr">
        <is>
          <t>https://m.place.naver.com/place/1238558414/home</t>
        </is>
      </c>
      <c r="S105" s="179" t="n"/>
    </row>
    <row r="106" ht="48" customHeight="1">
      <c r="A106" s="106" t="inlineStr">
        <is>
          <t>제주특별자치도</t>
        </is>
      </c>
      <c r="B106" s="107" t="inlineStr">
        <is>
          <t>01</t>
        </is>
      </c>
      <c r="C106" s="107" t="inlineStr">
        <is>
          <t>제주</t>
        </is>
      </c>
      <c r="D106" s="107" t="n">
        <v>1</v>
      </c>
      <c r="E106" s="53" t="inlineStr">
        <is>
          <t>TCG 아일랜드</t>
        </is>
      </c>
      <c r="F106" s="53" t="inlineStr">
        <is>
          <t>공개 대표번호 미확인</t>
        </is>
      </c>
      <c r="G106" s="53" t="inlineStr">
        <is>
          <t>제주 제주시 중앙로 197-1, 2층</t>
        </is>
      </c>
      <c r="H106" s="53" t="str"/>
      <c r="I106" s="53" t="inlineStr">
        <is>
          <t>제주시의 TCG 매장으로 유희왕·뱅가드 관련 대회와 플레이 정보가 확인되는 제주 지역 카드게임 거점입니다.</t>
        </is>
      </c>
      <c r="J106" s="53" t="inlineStr">
        <is>
          <t>https://www.google.com/maps/search/?api=1&amp;query=TCG%20%EC%95%84%EC%9D%BC%EB%9E%9C%EB%93%9C%20%EC%A0%9C%EC%A3%BC%20%EC%A0%9C%EC%A3%BC%EC%8B%9C%20%EC%A4%91%EC%95%99%EB%A1%9C%20197-1%2C%202%EC%B8%B5</t>
        </is>
      </c>
      <c r="K106" s="54" t="inlineStr">
        <is>
          <t>2026-09-11</t>
        </is>
      </c>
      <c r="L106" s="178" t="inlineStr">
        <is>
          <t>@iboxjeju</t>
        </is>
      </c>
      <c r="M106" s="180" t="inlineStr">
        <is>
          <t>https://www.instagram.com/iboxjeju/</t>
        </is>
      </c>
      <c r="N106" s="180" t="inlineStr">
        <is>
          <t>https://ldb-phinf.pstatic.net/20240503_45/1714719207866Ym0xI_JPEG/1704318930104-1.jpg</t>
        </is>
      </c>
      <c r="O106" s="178" t="inlineStr">
        <is>
          <t>네이버 플레이스</t>
        </is>
      </c>
      <c r="P106" s="178" t="n"/>
      <c r="Q106" s="178" t="n"/>
      <c r="R106" s="180" t="inlineStr">
        <is>
          <t>https://m.place.naver.com/place/33077968/home</t>
        </is>
      </c>
      <c r="S106" s="179" t="inlineStr">
        <is>
          <t>상호('아일랜드')+지역(제주) 일치로 채택, 다만 바이오/팔로워 등 상세 데이터는 페이지에서 확인 못함(제목만 확인)</t>
        </is>
      </c>
    </row>
  </sheetData>
  <mergeCells count="2">
    <mergeCell ref="A2:K2"/>
    <mergeCell ref="A1:K1"/>
  </mergeCells>
  <hyperlinks>
    <hyperlink xmlns:r="http://schemas.openxmlformats.org/officeDocument/2006/relationships" ref="M5" r:id="rId1"/>
    <hyperlink xmlns:r="http://schemas.openxmlformats.org/officeDocument/2006/relationships" ref="N5" r:id="rId2"/>
    <hyperlink xmlns:r="http://schemas.openxmlformats.org/officeDocument/2006/relationships" ref="M6" r:id="rId3"/>
    <hyperlink xmlns:r="http://schemas.openxmlformats.org/officeDocument/2006/relationships" ref="N6" r:id="rId4"/>
    <hyperlink xmlns:r="http://schemas.openxmlformats.org/officeDocument/2006/relationships" ref="P6" r:id="rId5"/>
    <hyperlink xmlns:r="http://schemas.openxmlformats.org/officeDocument/2006/relationships" ref="R6" r:id="rId6"/>
    <hyperlink xmlns:r="http://schemas.openxmlformats.org/officeDocument/2006/relationships" ref="N7" r:id="rId7"/>
    <hyperlink xmlns:r="http://schemas.openxmlformats.org/officeDocument/2006/relationships" ref="R7" r:id="rId8"/>
    <hyperlink xmlns:r="http://schemas.openxmlformats.org/officeDocument/2006/relationships" ref="N8" r:id="rId9"/>
    <hyperlink xmlns:r="http://schemas.openxmlformats.org/officeDocument/2006/relationships" ref="R8" r:id="rId10"/>
    <hyperlink xmlns:r="http://schemas.openxmlformats.org/officeDocument/2006/relationships" ref="M9" r:id="rId11"/>
    <hyperlink xmlns:r="http://schemas.openxmlformats.org/officeDocument/2006/relationships" ref="N9" r:id="rId12"/>
    <hyperlink xmlns:r="http://schemas.openxmlformats.org/officeDocument/2006/relationships" ref="P9" r:id="rId13"/>
    <hyperlink xmlns:r="http://schemas.openxmlformats.org/officeDocument/2006/relationships" ref="R9" r:id="rId14"/>
    <hyperlink xmlns:r="http://schemas.openxmlformats.org/officeDocument/2006/relationships" ref="M10" r:id="rId15"/>
    <hyperlink xmlns:r="http://schemas.openxmlformats.org/officeDocument/2006/relationships" ref="N10" r:id="rId16"/>
    <hyperlink xmlns:r="http://schemas.openxmlformats.org/officeDocument/2006/relationships" ref="P10" r:id="rId17"/>
    <hyperlink xmlns:r="http://schemas.openxmlformats.org/officeDocument/2006/relationships" ref="R10" r:id="rId18"/>
    <hyperlink xmlns:r="http://schemas.openxmlformats.org/officeDocument/2006/relationships" ref="M12" r:id="rId19"/>
    <hyperlink xmlns:r="http://schemas.openxmlformats.org/officeDocument/2006/relationships" ref="N12" r:id="rId20"/>
    <hyperlink xmlns:r="http://schemas.openxmlformats.org/officeDocument/2006/relationships" ref="P12" r:id="rId21"/>
    <hyperlink xmlns:r="http://schemas.openxmlformats.org/officeDocument/2006/relationships" ref="R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P13" r:id="rId25"/>
    <hyperlink xmlns:r="http://schemas.openxmlformats.org/officeDocument/2006/relationships" ref="R13" r:id="rId26"/>
    <hyperlink xmlns:r="http://schemas.openxmlformats.org/officeDocument/2006/relationships" ref="M14" r:id="rId27"/>
    <hyperlink xmlns:r="http://schemas.openxmlformats.org/officeDocument/2006/relationships" ref="M15" r:id="rId28"/>
    <hyperlink xmlns:r="http://schemas.openxmlformats.org/officeDocument/2006/relationships" ref="N15" r:id="rId29"/>
    <hyperlink xmlns:r="http://schemas.openxmlformats.org/officeDocument/2006/relationships" ref="P15" r:id="rId30"/>
    <hyperlink xmlns:r="http://schemas.openxmlformats.org/officeDocument/2006/relationships" ref="R15" r:id="rId31"/>
    <hyperlink xmlns:r="http://schemas.openxmlformats.org/officeDocument/2006/relationships" ref="M16" r:id="rId32"/>
    <hyperlink xmlns:r="http://schemas.openxmlformats.org/officeDocument/2006/relationships" ref="N16" r:id="rId33"/>
    <hyperlink xmlns:r="http://schemas.openxmlformats.org/officeDocument/2006/relationships" ref="R16" r:id="rId34"/>
    <hyperlink xmlns:r="http://schemas.openxmlformats.org/officeDocument/2006/relationships" ref="M17" r:id="rId35"/>
    <hyperlink xmlns:r="http://schemas.openxmlformats.org/officeDocument/2006/relationships" ref="N17" r:id="rId36"/>
    <hyperlink xmlns:r="http://schemas.openxmlformats.org/officeDocument/2006/relationships" ref="P17" r:id="rId37"/>
    <hyperlink xmlns:r="http://schemas.openxmlformats.org/officeDocument/2006/relationships" ref="R17" r:id="rId38"/>
    <hyperlink xmlns:r="http://schemas.openxmlformats.org/officeDocument/2006/relationships" ref="M18" r:id="rId39"/>
    <hyperlink xmlns:r="http://schemas.openxmlformats.org/officeDocument/2006/relationships" ref="N18" r:id="rId40"/>
    <hyperlink xmlns:r="http://schemas.openxmlformats.org/officeDocument/2006/relationships" ref="P18" r:id="rId41"/>
    <hyperlink xmlns:r="http://schemas.openxmlformats.org/officeDocument/2006/relationships" ref="R18" r:id="rId42"/>
    <hyperlink xmlns:r="http://schemas.openxmlformats.org/officeDocument/2006/relationships" ref="M19" r:id="rId43"/>
    <hyperlink xmlns:r="http://schemas.openxmlformats.org/officeDocument/2006/relationships" ref="N19" r:id="rId44"/>
    <hyperlink xmlns:r="http://schemas.openxmlformats.org/officeDocument/2006/relationships" ref="R19" r:id="rId45"/>
    <hyperlink xmlns:r="http://schemas.openxmlformats.org/officeDocument/2006/relationships" ref="M20" r:id="rId46"/>
    <hyperlink xmlns:r="http://schemas.openxmlformats.org/officeDocument/2006/relationships" ref="N20" r:id="rId47"/>
    <hyperlink xmlns:r="http://schemas.openxmlformats.org/officeDocument/2006/relationships" ref="R20" r:id="rId48"/>
    <hyperlink xmlns:r="http://schemas.openxmlformats.org/officeDocument/2006/relationships" ref="M21" r:id="rId49"/>
    <hyperlink xmlns:r="http://schemas.openxmlformats.org/officeDocument/2006/relationships" ref="N21" r:id="rId50"/>
    <hyperlink xmlns:r="http://schemas.openxmlformats.org/officeDocument/2006/relationships" ref="P21" r:id="rId51"/>
    <hyperlink xmlns:r="http://schemas.openxmlformats.org/officeDocument/2006/relationships" ref="R21" r:id="rId52"/>
    <hyperlink xmlns:r="http://schemas.openxmlformats.org/officeDocument/2006/relationships" ref="N22" r:id="rId53"/>
    <hyperlink xmlns:r="http://schemas.openxmlformats.org/officeDocument/2006/relationships" ref="R22" r:id="rId54"/>
    <hyperlink xmlns:r="http://schemas.openxmlformats.org/officeDocument/2006/relationships" ref="M23" r:id="rId55"/>
    <hyperlink xmlns:r="http://schemas.openxmlformats.org/officeDocument/2006/relationships" ref="N23" r:id="rId56"/>
    <hyperlink xmlns:r="http://schemas.openxmlformats.org/officeDocument/2006/relationships" ref="N25" r:id="rId57"/>
    <hyperlink xmlns:r="http://schemas.openxmlformats.org/officeDocument/2006/relationships" ref="R25" r:id="rId58"/>
    <hyperlink xmlns:r="http://schemas.openxmlformats.org/officeDocument/2006/relationships" ref="N26" r:id="rId59"/>
    <hyperlink xmlns:r="http://schemas.openxmlformats.org/officeDocument/2006/relationships" ref="R26" r:id="rId60"/>
    <hyperlink xmlns:r="http://schemas.openxmlformats.org/officeDocument/2006/relationships" ref="N27" r:id="rId61"/>
    <hyperlink xmlns:r="http://schemas.openxmlformats.org/officeDocument/2006/relationships" ref="R27" r:id="rId62"/>
    <hyperlink xmlns:r="http://schemas.openxmlformats.org/officeDocument/2006/relationships" ref="M28" r:id="rId63"/>
    <hyperlink xmlns:r="http://schemas.openxmlformats.org/officeDocument/2006/relationships" ref="N28" r:id="rId64"/>
    <hyperlink xmlns:r="http://schemas.openxmlformats.org/officeDocument/2006/relationships" ref="M29" r:id="rId65"/>
    <hyperlink xmlns:r="http://schemas.openxmlformats.org/officeDocument/2006/relationships" ref="N29" r:id="rId66"/>
    <hyperlink xmlns:r="http://schemas.openxmlformats.org/officeDocument/2006/relationships" ref="N30" r:id="rId67"/>
    <hyperlink xmlns:r="http://schemas.openxmlformats.org/officeDocument/2006/relationships" ref="R30" r:id="rId68"/>
    <hyperlink xmlns:r="http://schemas.openxmlformats.org/officeDocument/2006/relationships" ref="M31" r:id="rId69"/>
    <hyperlink xmlns:r="http://schemas.openxmlformats.org/officeDocument/2006/relationships" ref="N31" r:id="rId70"/>
    <hyperlink xmlns:r="http://schemas.openxmlformats.org/officeDocument/2006/relationships" ref="R31" r:id="rId71"/>
    <hyperlink xmlns:r="http://schemas.openxmlformats.org/officeDocument/2006/relationships" ref="N32" r:id="rId72"/>
    <hyperlink xmlns:r="http://schemas.openxmlformats.org/officeDocument/2006/relationships" ref="R32" r:id="rId73"/>
    <hyperlink xmlns:r="http://schemas.openxmlformats.org/officeDocument/2006/relationships" ref="N33" r:id="rId74"/>
    <hyperlink xmlns:r="http://schemas.openxmlformats.org/officeDocument/2006/relationships" ref="R33" r:id="rId75"/>
    <hyperlink xmlns:r="http://schemas.openxmlformats.org/officeDocument/2006/relationships" ref="N34" r:id="rId76"/>
    <hyperlink xmlns:r="http://schemas.openxmlformats.org/officeDocument/2006/relationships" ref="R34" r:id="rId77"/>
    <hyperlink xmlns:r="http://schemas.openxmlformats.org/officeDocument/2006/relationships" ref="N35" r:id="rId78"/>
    <hyperlink xmlns:r="http://schemas.openxmlformats.org/officeDocument/2006/relationships" ref="R35" r:id="rId79"/>
    <hyperlink xmlns:r="http://schemas.openxmlformats.org/officeDocument/2006/relationships" ref="N36" r:id="rId80"/>
    <hyperlink xmlns:r="http://schemas.openxmlformats.org/officeDocument/2006/relationships" ref="R36" r:id="rId81"/>
    <hyperlink xmlns:r="http://schemas.openxmlformats.org/officeDocument/2006/relationships" ref="N37" r:id="rId82"/>
    <hyperlink xmlns:r="http://schemas.openxmlformats.org/officeDocument/2006/relationships" ref="R37" r:id="rId83"/>
    <hyperlink xmlns:r="http://schemas.openxmlformats.org/officeDocument/2006/relationships" ref="N38" r:id="rId84"/>
    <hyperlink xmlns:r="http://schemas.openxmlformats.org/officeDocument/2006/relationships" ref="R38" r:id="rId85"/>
    <hyperlink xmlns:r="http://schemas.openxmlformats.org/officeDocument/2006/relationships" ref="M39" r:id="rId86"/>
    <hyperlink xmlns:r="http://schemas.openxmlformats.org/officeDocument/2006/relationships" ref="N39" r:id="rId87"/>
    <hyperlink xmlns:r="http://schemas.openxmlformats.org/officeDocument/2006/relationships" ref="M40" r:id="rId88"/>
    <hyperlink xmlns:r="http://schemas.openxmlformats.org/officeDocument/2006/relationships" ref="N40" r:id="rId89"/>
    <hyperlink xmlns:r="http://schemas.openxmlformats.org/officeDocument/2006/relationships" ref="P40" r:id="rId90"/>
    <hyperlink xmlns:r="http://schemas.openxmlformats.org/officeDocument/2006/relationships" ref="R40" r:id="rId91"/>
    <hyperlink xmlns:r="http://schemas.openxmlformats.org/officeDocument/2006/relationships" ref="N41" r:id="rId92"/>
    <hyperlink xmlns:r="http://schemas.openxmlformats.org/officeDocument/2006/relationships" ref="R41" r:id="rId93"/>
    <hyperlink xmlns:r="http://schemas.openxmlformats.org/officeDocument/2006/relationships" ref="R42" r:id="rId94"/>
    <hyperlink xmlns:r="http://schemas.openxmlformats.org/officeDocument/2006/relationships" ref="N43" r:id="rId95"/>
    <hyperlink xmlns:r="http://schemas.openxmlformats.org/officeDocument/2006/relationships" ref="R43" r:id="rId96"/>
    <hyperlink xmlns:r="http://schemas.openxmlformats.org/officeDocument/2006/relationships" ref="M44" r:id="rId97"/>
    <hyperlink xmlns:r="http://schemas.openxmlformats.org/officeDocument/2006/relationships" ref="N44" r:id="rId98"/>
    <hyperlink xmlns:r="http://schemas.openxmlformats.org/officeDocument/2006/relationships" ref="P44" r:id="rId99"/>
    <hyperlink xmlns:r="http://schemas.openxmlformats.org/officeDocument/2006/relationships" ref="R44" r:id="rId100"/>
    <hyperlink xmlns:r="http://schemas.openxmlformats.org/officeDocument/2006/relationships" ref="M46" r:id="rId101"/>
    <hyperlink xmlns:r="http://schemas.openxmlformats.org/officeDocument/2006/relationships" ref="N46" r:id="rId102"/>
    <hyperlink xmlns:r="http://schemas.openxmlformats.org/officeDocument/2006/relationships" ref="P46" r:id="rId103"/>
    <hyperlink xmlns:r="http://schemas.openxmlformats.org/officeDocument/2006/relationships" ref="R46" r:id="rId104"/>
    <hyperlink xmlns:r="http://schemas.openxmlformats.org/officeDocument/2006/relationships" ref="M48" r:id="rId105"/>
    <hyperlink xmlns:r="http://schemas.openxmlformats.org/officeDocument/2006/relationships" ref="N48" r:id="rId106"/>
    <hyperlink xmlns:r="http://schemas.openxmlformats.org/officeDocument/2006/relationships" ref="P48" r:id="rId107"/>
    <hyperlink xmlns:r="http://schemas.openxmlformats.org/officeDocument/2006/relationships" ref="R48" r:id="rId108"/>
    <hyperlink xmlns:r="http://schemas.openxmlformats.org/officeDocument/2006/relationships" ref="M50" r:id="rId109"/>
    <hyperlink xmlns:r="http://schemas.openxmlformats.org/officeDocument/2006/relationships" ref="N50" r:id="rId110"/>
    <hyperlink xmlns:r="http://schemas.openxmlformats.org/officeDocument/2006/relationships" ref="P50" r:id="rId111"/>
    <hyperlink xmlns:r="http://schemas.openxmlformats.org/officeDocument/2006/relationships" ref="R50" r:id="rId112"/>
    <hyperlink xmlns:r="http://schemas.openxmlformats.org/officeDocument/2006/relationships" ref="N52" r:id="rId113"/>
    <hyperlink xmlns:r="http://schemas.openxmlformats.org/officeDocument/2006/relationships" ref="R52" r:id="rId114"/>
    <hyperlink xmlns:r="http://schemas.openxmlformats.org/officeDocument/2006/relationships" ref="N53" r:id="rId115"/>
    <hyperlink xmlns:r="http://schemas.openxmlformats.org/officeDocument/2006/relationships" ref="R53" r:id="rId116"/>
    <hyperlink xmlns:r="http://schemas.openxmlformats.org/officeDocument/2006/relationships" ref="M54" r:id="rId117"/>
    <hyperlink xmlns:r="http://schemas.openxmlformats.org/officeDocument/2006/relationships" ref="N54" r:id="rId118"/>
    <hyperlink xmlns:r="http://schemas.openxmlformats.org/officeDocument/2006/relationships" ref="P54" r:id="rId119"/>
    <hyperlink xmlns:r="http://schemas.openxmlformats.org/officeDocument/2006/relationships" ref="R54" r:id="rId120"/>
    <hyperlink xmlns:r="http://schemas.openxmlformats.org/officeDocument/2006/relationships" ref="M55" r:id="rId121"/>
    <hyperlink xmlns:r="http://schemas.openxmlformats.org/officeDocument/2006/relationships" ref="N55" r:id="rId122"/>
    <hyperlink xmlns:r="http://schemas.openxmlformats.org/officeDocument/2006/relationships" ref="P55" r:id="rId123"/>
    <hyperlink xmlns:r="http://schemas.openxmlformats.org/officeDocument/2006/relationships" ref="R55" r:id="rId124"/>
    <hyperlink xmlns:r="http://schemas.openxmlformats.org/officeDocument/2006/relationships" ref="R56" r:id="rId125"/>
    <hyperlink xmlns:r="http://schemas.openxmlformats.org/officeDocument/2006/relationships" ref="M57" r:id="rId126"/>
    <hyperlink xmlns:r="http://schemas.openxmlformats.org/officeDocument/2006/relationships" ref="N57" r:id="rId127"/>
    <hyperlink xmlns:r="http://schemas.openxmlformats.org/officeDocument/2006/relationships" ref="P57" r:id="rId128"/>
    <hyperlink xmlns:r="http://schemas.openxmlformats.org/officeDocument/2006/relationships" ref="R57" r:id="rId129"/>
    <hyperlink xmlns:r="http://schemas.openxmlformats.org/officeDocument/2006/relationships" ref="M59" r:id="rId130"/>
    <hyperlink xmlns:r="http://schemas.openxmlformats.org/officeDocument/2006/relationships" ref="N59" r:id="rId131"/>
    <hyperlink xmlns:r="http://schemas.openxmlformats.org/officeDocument/2006/relationships" ref="P59" r:id="rId132"/>
    <hyperlink xmlns:r="http://schemas.openxmlformats.org/officeDocument/2006/relationships" ref="R59" r:id="rId133"/>
    <hyperlink xmlns:r="http://schemas.openxmlformats.org/officeDocument/2006/relationships" ref="N60" r:id="rId134"/>
    <hyperlink xmlns:r="http://schemas.openxmlformats.org/officeDocument/2006/relationships" ref="R60" r:id="rId135"/>
    <hyperlink xmlns:r="http://schemas.openxmlformats.org/officeDocument/2006/relationships" ref="M61" r:id="rId136"/>
    <hyperlink xmlns:r="http://schemas.openxmlformats.org/officeDocument/2006/relationships" ref="N61" r:id="rId137"/>
    <hyperlink xmlns:r="http://schemas.openxmlformats.org/officeDocument/2006/relationships" ref="P61" r:id="rId138"/>
    <hyperlink xmlns:r="http://schemas.openxmlformats.org/officeDocument/2006/relationships" ref="R61" r:id="rId139"/>
    <hyperlink xmlns:r="http://schemas.openxmlformats.org/officeDocument/2006/relationships" ref="R62" r:id="rId140"/>
    <hyperlink xmlns:r="http://schemas.openxmlformats.org/officeDocument/2006/relationships" ref="M63" r:id="rId141"/>
    <hyperlink xmlns:r="http://schemas.openxmlformats.org/officeDocument/2006/relationships" ref="N63" r:id="rId142"/>
    <hyperlink xmlns:r="http://schemas.openxmlformats.org/officeDocument/2006/relationships" ref="R63" r:id="rId143"/>
    <hyperlink xmlns:r="http://schemas.openxmlformats.org/officeDocument/2006/relationships" ref="M64" r:id="rId144"/>
    <hyperlink xmlns:r="http://schemas.openxmlformats.org/officeDocument/2006/relationships" ref="N64" r:id="rId145"/>
    <hyperlink xmlns:r="http://schemas.openxmlformats.org/officeDocument/2006/relationships" ref="P64" r:id="rId146"/>
    <hyperlink xmlns:r="http://schemas.openxmlformats.org/officeDocument/2006/relationships" ref="R64" r:id="rId147"/>
    <hyperlink xmlns:r="http://schemas.openxmlformats.org/officeDocument/2006/relationships" ref="N65" r:id="rId148"/>
    <hyperlink xmlns:r="http://schemas.openxmlformats.org/officeDocument/2006/relationships" ref="R65" r:id="rId149"/>
    <hyperlink xmlns:r="http://schemas.openxmlformats.org/officeDocument/2006/relationships" ref="N66" r:id="rId150"/>
    <hyperlink xmlns:r="http://schemas.openxmlformats.org/officeDocument/2006/relationships" ref="R66" r:id="rId151"/>
    <hyperlink xmlns:r="http://schemas.openxmlformats.org/officeDocument/2006/relationships" ref="N67" r:id="rId152"/>
    <hyperlink xmlns:r="http://schemas.openxmlformats.org/officeDocument/2006/relationships" ref="R67" r:id="rId153"/>
    <hyperlink xmlns:r="http://schemas.openxmlformats.org/officeDocument/2006/relationships" ref="M69" r:id="rId154"/>
    <hyperlink xmlns:r="http://schemas.openxmlformats.org/officeDocument/2006/relationships" ref="N69" r:id="rId155"/>
    <hyperlink xmlns:r="http://schemas.openxmlformats.org/officeDocument/2006/relationships" ref="R69" r:id="rId156"/>
    <hyperlink xmlns:r="http://schemas.openxmlformats.org/officeDocument/2006/relationships" ref="N70" r:id="rId157"/>
    <hyperlink xmlns:r="http://schemas.openxmlformats.org/officeDocument/2006/relationships" ref="R70" r:id="rId158"/>
    <hyperlink xmlns:r="http://schemas.openxmlformats.org/officeDocument/2006/relationships" ref="N71" r:id="rId159"/>
    <hyperlink xmlns:r="http://schemas.openxmlformats.org/officeDocument/2006/relationships" ref="R71" r:id="rId160"/>
    <hyperlink xmlns:r="http://schemas.openxmlformats.org/officeDocument/2006/relationships" ref="M72" r:id="rId161"/>
    <hyperlink xmlns:r="http://schemas.openxmlformats.org/officeDocument/2006/relationships" ref="N72" r:id="rId162"/>
    <hyperlink xmlns:r="http://schemas.openxmlformats.org/officeDocument/2006/relationships" ref="M73" r:id="rId163"/>
    <hyperlink xmlns:r="http://schemas.openxmlformats.org/officeDocument/2006/relationships" ref="N73" r:id="rId164"/>
    <hyperlink xmlns:r="http://schemas.openxmlformats.org/officeDocument/2006/relationships" ref="R73" r:id="rId165"/>
    <hyperlink xmlns:r="http://schemas.openxmlformats.org/officeDocument/2006/relationships" ref="N75" r:id="rId166"/>
    <hyperlink xmlns:r="http://schemas.openxmlformats.org/officeDocument/2006/relationships" ref="R75" r:id="rId167"/>
    <hyperlink xmlns:r="http://schemas.openxmlformats.org/officeDocument/2006/relationships" ref="N76" r:id="rId168"/>
    <hyperlink xmlns:r="http://schemas.openxmlformats.org/officeDocument/2006/relationships" ref="R76" r:id="rId169"/>
    <hyperlink xmlns:r="http://schemas.openxmlformats.org/officeDocument/2006/relationships" ref="N77" r:id="rId170"/>
    <hyperlink xmlns:r="http://schemas.openxmlformats.org/officeDocument/2006/relationships" ref="R77" r:id="rId171"/>
    <hyperlink xmlns:r="http://schemas.openxmlformats.org/officeDocument/2006/relationships" ref="N78" r:id="rId172"/>
    <hyperlink xmlns:r="http://schemas.openxmlformats.org/officeDocument/2006/relationships" ref="R78" r:id="rId173"/>
    <hyperlink xmlns:r="http://schemas.openxmlformats.org/officeDocument/2006/relationships" ref="M79" r:id="rId174"/>
    <hyperlink xmlns:r="http://schemas.openxmlformats.org/officeDocument/2006/relationships" ref="N79" r:id="rId175"/>
    <hyperlink xmlns:r="http://schemas.openxmlformats.org/officeDocument/2006/relationships" ref="N80" r:id="rId176"/>
    <hyperlink xmlns:r="http://schemas.openxmlformats.org/officeDocument/2006/relationships" ref="R80" r:id="rId177"/>
    <hyperlink xmlns:r="http://schemas.openxmlformats.org/officeDocument/2006/relationships" ref="M81" r:id="rId178"/>
    <hyperlink xmlns:r="http://schemas.openxmlformats.org/officeDocument/2006/relationships" ref="N81" r:id="rId179"/>
    <hyperlink xmlns:r="http://schemas.openxmlformats.org/officeDocument/2006/relationships" ref="P81" r:id="rId180"/>
    <hyperlink xmlns:r="http://schemas.openxmlformats.org/officeDocument/2006/relationships" ref="R81" r:id="rId181"/>
    <hyperlink xmlns:r="http://schemas.openxmlformats.org/officeDocument/2006/relationships" ref="N82" r:id="rId182"/>
    <hyperlink xmlns:r="http://schemas.openxmlformats.org/officeDocument/2006/relationships" ref="R82" r:id="rId183"/>
    <hyperlink xmlns:r="http://schemas.openxmlformats.org/officeDocument/2006/relationships" ref="N83" r:id="rId184"/>
    <hyperlink xmlns:r="http://schemas.openxmlformats.org/officeDocument/2006/relationships" ref="R83" r:id="rId185"/>
    <hyperlink xmlns:r="http://schemas.openxmlformats.org/officeDocument/2006/relationships" ref="M85" r:id="rId186"/>
    <hyperlink xmlns:r="http://schemas.openxmlformats.org/officeDocument/2006/relationships" ref="N85" r:id="rId187"/>
    <hyperlink xmlns:r="http://schemas.openxmlformats.org/officeDocument/2006/relationships" ref="P85" r:id="rId188"/>
    <hyperlink xmlns:r="http://schemas.openxmlformats.org/officeDocument/2006/relationships" ref="R85" r:id="rId189"/>
    <hyperlink xmlns:r="http://schemas.openxmlformats.org/officeDocument/2006/relationships" ref="N86" r:id="rId190"/>
    <hyperlink xmlns:r="http://schemas.openxmlformats.org/officeDocument/2006/relationships" ref="R86" r:id="rId191"/>
    <hyperlink xmlns:r="http://schemas.openxmlformats.org/officeDocument/2006/relationships" ref="N87" r:id="rId192"/>
    <hyperlink xmlns:r="http://schemas.openxmlformats.org/officeDocument/2006/relationships" ref="R87" r:id="rId193"/>
    <hyperlink xmlns:r="http://schemas.openxmlformats.org/officeDocument/2006/relationships" ref="M88" r:id="rId194"/>
    <hyperlink xmlns:r="http://schemas.openxmlformats.org/officeDocument/2006/relationships" ref="N88" r:id="rId195"/>
    <hyperlink xmlns:r="http://schemas.openxmlformats.org/officeDocument/2006/relationships" ref="P88" r:id="rId196"/>
    <hyperlink xmlns:r="http://schemas.openxmlformats.org/officeDocument/2006/relationships" ref="R88" r:id="rId197"/>
    <hyperlink xmlns:r="http://schemas.openxmlformats.org/officeDocument/2006/relationships" ref="M89" r:id="rId198"/>
    <hyperlink xmlns:r="http://schemas.openxmlformats.org/officeDocument/2006/relationships" ref="N89" r:id="rId199"/>
    <hyperlink xmlns:r="http://schemas.openxmlformats.org/officeDocument/2006/relationships" ref="P89" r:id="rId200"/>
    <hyperlink xmlns:r="http://schemas.openxmlformats.org/officeDocument/2006/relationships" ref="R89" r:id="rId201"/>
    <hyperlink xmlns:r="http://schemas.openxmlformats.org/officeDocument/2006/relationships" ref="R91" r:id="rId202"/>
    <hyperlink xmlns:r="http://schemas.openxmlformats.org/officeDocument/2006/relationships" ref="M92" r:id="rId203"/>
    <hyperlink xmlns:r="http://schemas.openxmlformats.org/officeDocument/2006/relationships" ref="N92" r:id="rId204"/>
    <hyperlink xmlns:r="http://schemas.openxmlformats.org/officeDocument/2006/relationships" ref="R93" r:id="rId205"/>
    <hyperlink xmlns:r="http://schemas.openxmlformats.org/officeDocument/2006/relationships" ref="M94" r:id="rId206"/>
    <hyperlink xmlns:r="http://schemas.openxmlformats.org/officeDocument/2006/relationships" ref="N94" r:id="rId207"/>
    <hyperlink xmlns:r="http://schemas.openxmlformats.org/officeDocument/2006/relationships" ref="P94" r:id="rId208"/>
    <hyperlink xmlns:r="http://schemas.openxmlformats.org/officeDocument/2006/relationships" ref="R94" r:id="rId209"/>
    <hyperlink xmlns:r="http://schemas.openxmlformats.org/officeDocument/2006/relationships" ref="N95" r:id="rId210"/>
    <hyperlink xmlns:r="http://schemas.openxmlformats.org/officeDocument/2006/relationships" ref="R95" r:id="rId211"/>
    <hyperlink xmlns:r="http://schemas.openxmlformats.org/officeDocument/2006/relationships" ref="N96" r:id="rId212"/>
    <hyperlink xmlns:r="http://schemas.openxmlformats.org/officeDocument/2006/relationships" ref="R96" r:id="rId213"/>
    <hyperlink xmlns:r="http://schemas.openxmlformats.org/officeDocument/2006/relationships" ref="M97" r:id="rId214"/>
    <hyperlink xmlns:r="http://schemas.openxmlformats.org/officeDocument/2006/relationships" ref="N97" r:id="rId215"/>
    <hyperlink xmlns:r="http://schemas.openxmlformats.org/officeDocument/2006/relationships" ref="P97" r:id="rId216"/>
    <hyperlink xmlns:r="http://schemas.openxmlformats.org/officeDocument/2006/relationships" ref="R97" r:id="rId217"/>
    <hyperlink xmlns:r="http://schemas.openxmlformats.org/officeDocument/2006/relationships" ref="M98" r:id="rId218"/>
    <hyperlink xmlns:r="http://schemas.openxmlformats.org/officeDocument/2006/relationships" ref="N98" r:id="rId219"/>
    <hyperlink xmlns:r="http://schemas.openxmlformats.org/officeDocument/2006/relationships" ref="R98" r:id="rId220"/>
    <hyperlink xmlns:r="http://schemas.openxmlformats.org/officeDocument/2006/relationships" ref="M99" r:id="rId221"/>
    <hyperlink xmlns:r="http://schemas.openxmlformats.org/officeDocument/2006/relationships" ref="N99" r:id="rId222"/>
    <hyperlink xmlns:r="http://schemas.openxmlformats.org/officeDocument/2006/relationships" ref="P99" r:id="rId223"/>
    <hyperlink xmlns:r="http://schemas.openxmlformats.org/officeDocument/2006/relationships" ref="R99" r:id="rId224"/>
    <hyperlink xmlns:r="http://schemas.openxmlformats.org/officeDocument/2006/relationships" ref="N100" r:id="rId225"/>
    <hyperlink xmlns:r="http://schemas.openxmlformats.org/officeDocument/2006/relationships" ref="R100" r:id="rId226"/>
    <hyperlink xmlns:r="http://schemas.openxmlformats.org/officeDocument/2006/relationships" ref="R101" r:id="rId227"/>
    <hyperlink xmlns:r="http://schemas.openxmlformats.org/officeDocument/2006/relationships" ref="M102" r:id="rId228"/>
    <hyperlink xmlns:r="http://schemas.openxmlformats.org/officeDocument/2006/relationships" ref="N102" r:id="rId229"/>
    <hyperlink xmlns:r="http://schemas.openxmlformats.org/officeDocument/2006/relationships" ref="R102" r:id="rId230"/>
    <hyperlink xmlns:r="http://schemas.openxmlformats.org/officeDocument/2006/relationships" ref="N103" r:id="rId231"/>
    <hyperlink xmlns:r="http://schemas.openxmlformats.org/officeDocument/2006/relationships" ref="R103" r:id="rId232"/>
    <hyperlink xmlns:r="http://schemas.openxmlformats.org/officeDocument/2006/relationships" ref="N104" r:id="rId233"/>
    <hyperlink xmlns:r="http://schemas.openxmlformats.org/officeDocument/2006/relationships" ref="R104" r:id="rId234"/>
    <hyperlink xmlns:r="http://schemas.openxmlformats.org/officeDocument/2006/relationships" ref="N105" r:id="rId235"/>
    <hyperlink xmlns:r="http://schemas.openxmlformats.org/officeDocument/2006/relationships" ref="R105" r:id="rId236"/>
    <hyperlink xmlns:r="http://schemas.openxmlformats.org/officeDocument/2006/relationships" ref="M106" r:id="rId237"/>
    <hyperlink xmlns:r="http://schemas.openxmlformats.org/officeDocument/2006/relationships" ref="N106" r:id="rId238"/>
    <hyperlink xmlns:r="http://schemas.openxmlformats.org/officeDocument/2006/relationships" ref="R106" r:id="rId239"/>
  </hyperlinks>
  <pageMargins left="0.7" right="0.7" top="0.75" bottom="0.75" header="0.3" footer="0.3"/>
  <tableParts count="1">
    <tablePart xmlns:r="http://schemas.openxmlformats.org/officeDocument/2006/relationships" r:id="rId24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34" customWidth="1" min="4" max="4"/>
    <col width="18" customWidth="1" min="5" max="5"/>
    <col width="48" customWidth="1" min="6" max="6"/>
    <col width="35" customWidth="1" min="7" max="7"/>
    <col width="58" customWidth="1" min="8" max="8"/>
    <col width="20" customWidth="1" min="9" max="9"/>
    <col width="20" customWidth="1" min="10" max="10"/>
    <col width="18" customWidth="1" min="11" max="11"/>
    <col width="48" customWidth="1" min="12" max="12"/>
    <col width="13" customWidth="1" min="13" max="13"/>
    <col width="18" customWidth="1" min="14" max="14"/>
    <col width="34" customWidth="1" min="15" max="15"/>
    <col width="60" customWidth="1" min="16" max="16"/>
    <col width="14" customWidth="1" min="17" max="17"/>
    <col width="60" customWidth="1" min="18" max="18"/>
    <col width="18" customWidth="1" min="19" max="19"/>
    <col width="40" customWidth="1" min="20" max="20"/>
    <col width="44" customWidth="1" min="21" max="21"/>
  </cols>
  <sheetData>
    <row r="1" ht="30" customHeight="1">
      <c r="A1" s="9" t="inlineStr">
        <is>
          <t>ARVO 일본 카드샵 DB · 대도시 &gt; 세부지역/상권별 정리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2" customHeight="1">
      <c r="A2" s="117" t="inlineStr">
        <is>
          <t>도쿄·오사카·후쿠오카 등 대도시를 먼저 나누고, 아키하바라·이케부쿠로·니폰바시·텐진 등 세부 상권으로 분류했습니다. 사진은 저작권과 파일 용량 문제를 피하기 위해 매장 공식 페이지 + Google Maps + Google 이미지 검색 링크 3종으로 넣었습니다.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 ht="30" customHeight="1">
      <c r="A4" s="122" t="inlineStr">
        <is>
          <t>대도시</t>
        </is>
      </c>
      <c r="B4" s="122" t="inlineStr">
        <is>
          <t>세부지역/상권</t>
        </is>
      </c>
      <c r="C4" s="122" t="inlineStr">
        <is>
          <t>지역내순번</t>
        </is>
      </c>
      <c r="D4" s="122" t="inlineStr">
        <is>
          <t>매장명</t>
        </is>
      </c>
      <c r="E4" s="122" t="inlineStr">
        <is>
          <t>공식/공개번호</t>
        </is>
      </c>
      <c r="F4" s="122" t="inlineStr">
        <is>
          <t>주소</t>
        </is>
      </c>
      <c r="G4" s="122" t="inlineStr">
        <is>
          <t>영업시간</t>
        </is>
      </c>
      <c r="H4" s="122" t="inlineStr">
        <is>
          <t>대표 한줄 소개</t>
        </is>
      </c>
      <c r="I4" s="122" t="inlineStr">
        <is>
          <t>공식/매장 페이지</t>
        </is>
      </c>
      <c r="J4" s="122" t="inlineStr">
        <is>
          <t>Google Maps</t>
        </is>
      </c>
      <c r="K4" s="122" t="inlineStr">
        <is>
          <t>Google 이미지</t>
        </is>
      </c>
      <c r="L4" s="122" t="inlineStr">
        <is>
          <t>출처</t>
        </is>
      </c>
      <c r="M4" s="122" t="inlineStr">
        <is>
          <t>확인일</t>
        </is>
      </c>
      <c r="N4" s="127" t="inlineStr">
        <is>
          <t>인스타그램</t>
        </is>
      </c>
      <c r="O4" s="127" t="inlineStr">
        <is>
          <t>인스타그램 URL</t>
        </is>
      </c>
      <c r="P4" s="127" t="inlineStr">
        <is>
          <t>대표 이미지 URL</t>
        </is>
      </c>
      <c r="Q4" s="127" t="inlineStr">
        <is>
          <t>이미지 출처</t>
        </is>
      </c>
      <c r="R4" s="127" t="inlineStr">
        <is>
          <t>인스타 프로필 사진 URL(단기 만료)</t>
        </is>
      </c>
      <c r="S4" s="127" t="inlineStr">
        <is>
          <t>X(트위터)</t>
        </is>
      </c>
      <c r="T4" s="127" t="inlineStr">
        <is>
          <t>네이버 플레이스</t>
        </is>
      </c>
      <c r="U4" s="127" t="inlineStr">
        <is>
          <t>비고</t>
        </is>
      </c>
    </row>
    <row r="5" ht="52" customHeight="1">
      <c r="A5" s="90" t="inlineStr">
        <is>
          <t>도쿄</t>
        </is>
      </c>
      <c r="B5" s="91" t="inlineStr">
        <is>
          <t>아키하바라</t>
        </is>
      </c>
      <c r="C5" s="91" t="n">
        <v>1</v>
      </c>
      <c r="D5" s="47" t="inlineStr">
        <is>
          <t>Card Shop BEAMS 秋葉原</t>
        </is>
      </c>
      <c r="E5" s="47" t="inlineStr">
        <is>
          <t>03-6260-7139</t>
        </is>
      </c>
      <c r="F5" s="47" t="inlineStr">
        <is>
          <t>東京都千代田区外神田3-15-5 MNビル4F</t>
        </is>
      </c>
      <c r="G5" s="47" t="inlineStr">
        <is>
          <t>11:00~20:00 (공개 지도 기준)</t>
        </is>
      </c>
      <c r="H5" s="47" t="inlineStr">
        <is>
          <t>아키하바라 중심의 트레이딩 카드 전문점으로 포켓몬 등 인기 TCG 싱글과 상품을 취급합니다.</t>
        </is>
      </c>
      <c r="I5" s="47" t="inlineStr">
        <is>
          <t>공식 페이지 미확인</t>
        </is>
      </c>
      <c r="J5" s="47">
        <f>HYPERLINK("https://www.google.com/maps/search/?api=1&amp;query=Card%20Shop%20BEAMS%20%E7%A7%8B%E8%91%89%E5%8E%9F%20%E6%9D%B1%E4%BA%AC%E9%83%BD%E5%8D%83%E4%BB%A3%E7%94%B0%E5%8C%BA%E5%A4%96%E7%A5%9E%E7%94%B03-15-5%20MN%E3%83%93%E3%83%AB4F","지도·매장사진 보기")</f>
        <v/>
      </c>
      <c r="K5" s="47">
        <f>HYPERLINK("https://www.google.com/search?tbm=isch&amp;q=Card%20Shop%20BEAMS%20%E7%A7%8B%E8%91%89%E5%8E%9F%20%E6%9D%B1%E4%BA%AC%E9%83%BD%E5%8D%83%E4%BB%A3%E7%94%B0%E5%8C%BA%E5%A4%96%E7%A5%9E%E7%94%B03-15-5%20MN%E3%83%93%E3%83%AB4F","이미지 검색 보기")</f>
        <v/>
      </c>
      <c r="L5" s="47" t="inlineStr">
        <is>
          <t>https://www.google.com/maps/search/?api=1&amp;query=Card%20Shop%20BEAMS%20%E7%A7%8B%E8%91%89%E5%8E%9F%20%E6%9D%B1%E4%BA%AC%E9%83%BD%E5%8D%83%E4%BB%A3%E7%94%B0%E5%8C%BA%E5%A4%96%E7%A5%9E%E7%94%B03-15-5%20MN%E3%83%93%E3%83%AB4F</t>
        </is>
      </c>
      <c r="M5" s="48" t="inlineStr">
        <is>
          <t>2026-09-11</t>
        </is>
      </c>
      <c r="N5" s="178" t="inlineStr">
        <is>
          <t>@beems.cardshop</t>
        </is>
      </c>
      <c r="O5" s="180" t="inlineStr">
        <is>
          <t>https://www.instagram.com/beems.cardshop/</t>
        </is>
      </c>
      <c r="P5" s="180" t="inlineStr">
        <is>
          <t>https://scontent-icn2-1.cdninstagram.com/v/t51.2885-19/187567881_183020520254090_1916987080649099423_n.jpg?stp=dst-jpg_s150x150_tt6&amp;_nc_cat=111&amp;ccb=7-5&amp;_nc_sid=f7ccc5&amp;efg=eyJ2ZW5jb2RlX3RhZyI6InByb2ZpbGVfcGljLnd3dy43NTAuQzMifQ%3D%3D&amp;_nc_ohc=wzZnLPtiIrEQ7kNvwEDCZrp&amp;_nc_oc=Adqn6WhrjC2f2AjaE1o-I3x0aiWxGULVMu1VwVFPPKz-qMGNF4vMOfCbk73OSwidOFg&amp;_nc_zt=24&amp;_nc_ht=scontent-icn2-1.cdninstagram.com&amp;_nc_ss=7fa02&amp;oh=00_AQJLkbraABgW8akEdoIcZ_zm81gfs9DITzvZE07jm_0zSw&amp;oe=6AA9F922</t>
        </is>
      </c>
      <c r="Q5" s="178" t="inlineStr">
        <is>
          <t>인스타 프로필(단기 만료)</t>
        </is>
      </c>
      <c r="R5" s="178" t="n"/>
      <c r="S5" s="178" t="n"/>
      <c r="T5" s="178" t="n"/>
      <c r="U5" s="179" t="inlineStr">
        <is>
          <t>표시명·소개가 매장명과 정확히 일치 (아키하바라 트레카샵)</t>
        </is>
      </c>
    </row>
    <row r="6" ht="52" customHeight="1">
      <c r="A6" s="94" t="inlineStr">
        <is>
          <t>도쿄</t>
        </is>
      </c>
      <c r="B6" s="95" t="inlineStr">
        <is>
          <t>아키하바라</t>
        </is>
      </c>
      <c r="C6" s="95" t="n">
        <v>2</v>
      </c>
      <c r="D6" s="50" t="inlineStr">
        <is>
          <t>HOBBY SHOP ANKOU</t>
        </is>
      </c>
      <c r="E6" s="50" t="inlineStr">
        <is>
          <t>03-3526-2113</t>
        </is>
      </c>
      <c r="F6" s="50" t="inlineStr">
        <is>
          <t>東京都千代田区外神田4-13-13 2KTTビル1F</t>
        </is>
      </c>
      <c r="G6" s="50" t="str"/>
      <c r="H6" s="50" t="inlineStr">
        <is>
          <t>포켓몬·원피스 카드와 피규어·하비 상품을 함께 취급하는 아키하바라 소형 하비숍입니다.</t>
        </is>
      </c>
      <c r="I6" s="50" t="inlineStr">
        <is>
          <t>공식 페이지 미확인</t>
        </is>
      </c>
      <c r="J6" s="50">
        <f>HYPERLINK("https://www.google.com/maps/search/?api=1&amp;query=HOBBY%20SHOP%20ANKOU%20%E6%9D%B1%E4%BA%AC%E9%83%BD%E5%8D%83%E4%BB%A3%E7%94%B0%E5%8C%BA%E5%A4%96%E7%A5%9E%E7%94%B04-13-13%202KTT%E3%83%93%E3%83%AB1F","지도·매장사진 보기")</f>
        <v/>
      </c>
      <c r="K6" s="50">
        <f>HYPERLINK("https://www.google.com/search?tbm=isch&amp;q=HOBBY%20SHOP%20ANKOU%20%E6%9D%B1%E4%BA%AC%E9%83%BD%E5%8D%83%E4%BB%A3%E7%94%B0%E5%8C%BA%E5%A4%96%E7%A5%9E%E7%94%B04-13-13%202KTT%E3%83%93%E3%83%AB1F","이미지 검색 보기")</f>
        <v/>
      </c>
      <c r="L6" s="50" t="inlineStr">
        <is>
          <t>https://www.google.com/maps/search/?api=1&amp;query=HOBBY%20SHOP%20ANKOU%20%E6%9D%B1%E4%BA%AC%E9%83%BD%E5%8D%83%E4%BB%A3%E7%94%B0%E5%8C%BA%E5%A4%96%E7%A5%9E%E7%94%B04-13-13%202KTT%E3%83%93%E3%83%AB1F</t>
        </is>
      </c>
      <c r="M6" s="51" t="inlineStr">
        <is>
          <t>2026-09-11</t>
        </is>
      </c>
      <c r="N6" s="178" t="inlineStr">
        <is>
          <t>@hobby_anko_akihabara</t>
        </is>
      </c>
      <c r="O6" s="180" t="inlineStr">
        <is>
          <t>https://www.instagram.com/hobby_anko_akihabara/</t>
        </is>
      </c>
      <c r="P6" s="180" t="inlineStr">
        <is>
          <t>https://scontent-icn2-1.cdninstagram.com/v/t51.82787-19/590410865_17845789029611863_2157111525072617029_n.jpg?stp=dst-jpg_s150x150_tt6&amp;_nc_cat=108&amp;ccb=7-5&amp;_nc_sid=f7ccc5&amp;efg=eyJ2ZW5jb2RlX3RhZyI6InByb2ZpbGVfcGljLnd3dy4zMjAuQzMifQ%3D%3D&amp;_nc_ohc=hL7gppmOGDQQ7kNvwHeqczq&amp;_nc_oc=AdrA-lsiFNYN8iSONsuZ-LbydS4MfXWt6P-9ti49aFLlV8q6FyBTXBWR2KmBq7pO9rw&amp;_nc_zt=24&amp;_nc_ht=scontent-icn2-1.cdninstagram.com&amp;_nc_gid=D53k9uzLh1PkS5sRau4QQw&amp;_nc_ss=7fa02&amp;oh=00_AQLd137CFI0LLVLi24CViXQfVKEtfT2BM81F3YRt-FA9rg&amp;oe=6AA9E4F7</t>
        </is>
      </c>
      <c r="Q6" s="178" t="inlineStr">
        <is>
          <t>인스타 프로필(단기 만료)</t>
        </is>
      </c>
      <c r="R6" s="178" t="n"/>
      <c r="S6" s="178" t="n"/>
      <c r="T6" s="178" t="n"/>
      <c r="U6" s="179" t="inlineStr">
        <is>
          <t>표시명이 매장명(ANKOU, Akihabara)과 정확히 일치</t>
        </is>
      </c>
    </row>
    <row r="7" ht="52" customHeight="1">
      <c r="A7" s="94" t="inlineStr">
        <is>
          <t>도쿄</t>
        </is>
      </c>
      <c r="B7" s="95" t="inlineStr">
        <is>
          <t>아키하바라</t>
        </is>
      </c>
      <c r="C7" s="95" t="n">
        <v>3</v>
      </c>
      <c r="D7" s="50" t="inlineStr">
        <is>
          <t>TCG Pocket Center Akihabara</t>
        </is>
      </c>
      <c r="E7" s="50" t="inlineStr">
        <is>
          <t>050-1808-7913</t>
        </is>
      </c>
      <c r="F7" s="50" t="inlineStr">
        <is>
          <t>東京都千代田区外神田3-16-14 5F</t>
        </is>
      </c>
      <c r="G7" s="50" t="inlineStr">
        <is>
          <t>평일 14:00~20:00 / 주말 13:00~20:00</t>
        </is>
      </c>
      <c r="H7" s="50" t="inlineStr">
        <is>
          <t>포켓몬·원피스·드래곤볼 등을 취급하며 빈티지 포켓몬과 희귀 밀봉 상품을 찾는 수집가에게도 알려진 매장입니다.</t>
        </is>
      </c>
      <c r="I7" s="50" t="inlineStr">
        <is>
          <t>공식 페이지 미확인</t>
        </is>
      </c>
      <c r="J7" s="50">
        <f>HYPERLINK("https://www.google.com/maps/search/?api=1&amp;query=TCG%20Pocket%20Center%20Akihabara%20%E6%9D%B1%E4%BA%AC%E9%83%BD%E5%8D%83%E4%BB%A3%E7%94%B0%E5%8C%BA%E5%A4%96%E7%A5%9E%E7%94%B03-16-14%205F","지도·매장사진 보기")</f>
        <v/>
      </c>
      <c r="K7" s="50">
        <f>HYPERLINK("https://www.google.com/search?tbm=isch&amp;q=TCG%20Pocket%20Center%20Akihabara%20%E6%9D%B1%E4%BA%AC%E9%83%BD%E5%8D%83%E4%BB%A3%E7%94%B0%E5%8C%BA%E5%A4%96%E7%A5%9E%E7%94%B03-16-14%205F","이미지 검색 보기")</f>
        <v/>
      </c>
      <c r="L7" s="50" t="inlineStr">
        <is>
          <t>https://www.google.com/maps/search/?api=1&amp;query=TCG%20Pocket%20Center%20Akihabara%20%E6%9D%B1%E4%BA%AC%E9%83%BD%E5%8D%83%E4%BB%A3%E7%94%B0%E5%8C%BA%E5%A4%96%E7%A5%9E%E7%94%B03-16-14%205F</t>
        </is>
      </c>
      <c r="M7" s="51" t="inlineStr">
        <is>
          <t>2026-09-11</t>
        </is>
      </c>
      <c r="N7" s="178" t="inlineStr">
        <is>
          <t>@toreca_pocketcenter_akihabara</t>
        </is>
      </c>
      <c r="O7" s="180" t="inlineStr">
        <is>
          <t>https://www.instagram.com/toreca_pocketcenter_akihabara/</t>
        </is>
      </c>
      <c r="P7" s="180" t="inlineStr">
        <is>
          <t>https://scontent-icn2-1.cdninstagram.com/v/t51.75761-19/497982445_17945533796991260_4372598551508402763_n.jpg?stp=dst-jpg_s150x150_tt6&amp;_nc_cat=109&amp;ccb=7-5&amp;_nc_sid=f7ccc5&amp;efg=eyJ2ZW5jb2RlX3RhZyI6InByb2ZpbGVfcGljLnd3dy4xMDgwLkMzIn0%3D&amp;_nc_ohc=A3cAmIuGgCUQ7kNvwFfwyKP&amp;_nc_oc=AdokM3BjFrU_InpthjZ4dW-DVny-3oVSwDy4H3tP6cRrf0OyNXmHxrKbv6ReodSz0N0&amp;_nc_zt=24&amp;_nc_ht=scontent-icn2-1.cdninstagram.com&amp;_nc_gid=d0hwjqgLojnN690m2nc1LQ&amp;_nc_ss=7fa02&amp;oh=00_AQKAOY_UA6BNnO_TZ-mrpTZaQ1WZSqiBWKOgQ_BUTrtlOg&amp;oe=6AA9F56B</t>
        </is>
      </c>
      <c r="Q7" s="178" t="inlineStr">
        <is>
          <t>인스타 프로필(단기 만료)</t>
        </is>
      </c>
      <c r="R7" s="178" t="n"/>
      <c r="S7" s="178" t="n"/>
      <c r="T7" s="178" t="n"/>
      <c r="U7" s="179" t="inlineStr">
        <is>
          <t>표시명이 매장명(Pocket Center Akihabara)과 정확히 일치</t>
        </is>
      </c>
    </row>
    <row r="8" ht="52" customHeight="1">
      <c r="A8" s="94" t="inlineStr">
        <is>
          <t>도쿄</t>
        </is>
      </c>
      <c r="B8" s="95" t="inlineStr">
        <is>
          <t>아키하바라</t>
        </is>
      </c>
      <c r="C8" s="95" t="n">
        <v>4</v>
      </c>
      <c r="D8" s="50" t="inlineStr">
        <is>
          <t>Trading Card Shop YK AKIHABARA 1st</t>
        </is>
      </c>
      <c r="E8" s="50" t="str"/>
      <c r="F8" s="50" t="inlineStr">
        <is>
          <t>東京都千代田区外神田3-2-3</t>
        </is>
      </c>
      <c r="G8" s="50" t="inlineStr">
        <is>
          <t>12:00~20:00 (공개 지도 기준)</t>
        </is>
      </c>
      <c r="H8" s="50" t="inlineStr">
        <is>
          <t>포켓몬 카드 중심으로 박스·팩·싱글·PSA 등 수집형 상품을 취급하며 해외 방문객 이용도 많은 매장입니다.</t>
        </is>
      </c>
      <c r="I8" s="50" t="inlineStr">
        <is>
          <t>공식 페이지 미확인</t>
        </is>
      </c>
      <c r="J8" s="50">
        <f>HYPERLINK("https://www.google.com/maps/search/?api=1&amp;query=Trading%20Card%20Shop%20YK%20AKIHABARA%201st%20%E6%9D%B1%E4%BA%AC%E9%83%BD%E5%8D%83%E4%BB%A3%E7%94%B0%E5%8C%BA%E5%A4%96%E7%A5%9E%E7%94%B03-2-3","지도·매장사진 보기")</f>
        <v/>
      </c>
      <c r="K8" s="50">
        <f>HYPERLINK("https://www.google.com/search?tbm=isch&amp;q=Trading%20Card%20Shop%20YK%20AKIHABARA%201st%20%E6%9D%B1%E4%BA%AC%E9%83%BD%E5%8D%83%E4%BB%A3%E7%94%B0%E5%8C%BA%E5%A4%96%E7%A5%9E%E7%94%B03-2-3","이미지 검색 보기")</f>
        <v/>
      </c>
      <c r="L8" s="50" t="inlineStr">
        <is>
          <t>https://www.google.com/maps/search/?api=1&amp;query=Trading%20Card%20Shop%20YK%20AKIHABARA%201st%20%E6%9D%B1%E4%BA%AC%E9%83%BD%E5%8D%83%E4%BB%A3%E7%94%B0%E5%8C%BA%E5%A4%96%E7%A5%9E%E7%94%B03-2-3</t>
        </is>
      </c>
      <c r="M8" s="51" t="inlineStr">
        <is>
          <t>2026-09-11</t>
        </is>
      </c>
      <c r="N8" s="178" t="inlineStr">
        <is>
          <t>@tradingcardshop_yk</t>
        </is>
      </c>
      <c r="O8" s="180" t="inlineStr">
        <is>
          <t>https://www.instagram.com/tradingcardshop_yk/</t>
        </is>
      </c>
      <c r="P8" s="180" t="inlineStr">
        <is>
          <t>https://scontent-icn2-1.cdninstagram.com/v/t51.2885-19/486021112_1237214744569648_3337745128284898241_n.jpg?stp=dst-jpg_s150x150_tt6&amp;_nc_cat=100&amp;ccb=7-5&amp;_nc_sid=f7ccc5&amp;efg=eyJ2ZW5jb2RlX3RhZyI6InByb2ZpbGVfcGljLnd3dy4xMDgwLkMzIn0%3D&amp;_nc_ohc=m5wwTE-6fgEQ7kNvwFQS6Q2&amp;_nc_oc=AdqY-gXEAc3M4gatNEHm-8HdhiGOD5wiAaFl_TWhM8qAz-AtC5cHiVmRdqiuWLHPo7Q&amp;_nc_zt=24&amp;_nc_ht=scontent-icn2-1.cdninstagram.com&amp;_nc_ss=7fa02&amp;oh=00_AQLJmjpJYdZPjpp2_UBlt7M1it6xc1SRpM8bLtP5U8ib1w&amp;oe=6AAA0BAF</t>
        </is>
      </c>
      <c r="Q8" s="178" t="inlineStr">
        <is>
          <t>인스타 프로필(단기 만료)</t>
        </is>
      </c>
      <c r="R8" s="178" t="n"/>
      <c r="S8" s="178" t="n"/>
      <c r="T8" s="178" t="n"/>
      <c r="U8" s="179" t="inlineStr">
        <is>
          <t>표시명이 매장명(Trading Card Shop YK)과 정확히 일치, 아키하바라 소개</t>
        </is>
      </c>
    </row>
    <row r="9" ht="52" customHeight="1">
      <c r="A9" s="94" t="inlineStr">
        <is>
          <t>도쿄</t>
        </is>
      </c>
      <c r="B9" s="95" t="inlineStr">
        <is>
          <t>아키하바라</t>
        </is>
      </c>
      <c r="C9" s="95" t="n">
        <v>5</v>
      </c>
      <c r="D9" s="50" t="inlineStr">
        <is>
          <t>カードラッシュ秋葉原0号店TC / Card Rush Akihabara 0</t>
        </is>
      </c>
      <c r="E9" s="50" t="str"/>
      <c r="F9" s="50" t="inlineStr">
        <is>
          <t>東京都千代田区外神田1丁目18-18 Bito Akiba Plaza 7F</t>
        </is>
      </c>
      <c r="G9" s="50" t="inlineStr">
        <is>
          <t>평일 13:00~21:00 / 주말·공휴일 11:00~21:00</t>
        </is>
      </c>
      <c r="H9" s="50" t="inlineStr">
        <is>
          <t>아키하바라 대표 멀티 TCG 체인 중 하나로 싱글 카드와 신상품, 매입 수요가 활발한 매장입니다.</t>
        </is>
      </c>
      <c r="I9" s="50">
        <f>HYPERLINK("https://www.cardrush.jp/page/4","공식/매장 페이지")</f>
        <v/>
      </c>
      <c r="J9" s="50">
        <f>HYPERLINK("https://www.google.com/maps/search/?api=1&amp;query=%E3%82%AB%E3%83%BC%E3%83%89%E3%83%A9%E3%83%83%E3%82%B7%E3%83%A5%E7%A7%8B%E8%91%89%E5%8E%9F0%E5%8F%B7%E5%BA%97TC%20/%20Card%20Rush%20Akihabara%200%20%E6%9D%B1%E4%BA%AC%E9%83%BD%E5%8D%83%E4%BB%A3%E7%94%B0%E5%8C%BA%E5%A4%96%E7%A5%9E%E7%94%B01%E4%B8%81%E7%9B%AE18-18%20Bito%20Akiba%20Plaza%207F","지도·매장사진 보기")</f>
        <v/>
      </c>
      <c r="K9" s="50">
        <f>HYPERLINK("https://www.google.com/search?tbm=isch&amp;q=%E3%82%AB%E3%83%BC%E3%83%89%E3%83%A9%E3%83%83%E3%82%B7%E3%83%A5%E7%A7%8B%E8%91%89%E5%8E%9F0%E5%8F%B7%E5%BA%97TC%20/%20Card%20Rush%20Akihabara%200%20%E6%9D%B1%E4%BA%AC%E9%83%BD%E5%8D%83%E4%BB%A3%E7%94%B0%E5%8C%BA%E5%A4%96%E7%A5%9E%E7%94%B01%E4%B8%81%E7%9B%AE18-18%20Bito%20Akiba%20Plaza%207F","이미지 검색 보기")</f>
        <v/>
      </c>
      <c r="L9" s="50" t="inlineStr">
        <is>
          <t>https://www.cardrush.jp/page/4</t>
        </is>
      </c>
      <c r="M9" s="51" t="inlineStr">
        <is>
          <t>2026-09-11</t>
        </is>
      </c>
      <c r="N9" s="178" t="inlineStr">
        <is>
          <t>없음</t>
        </is>
      </c>
      <c r="O9" s="178" t="n"/>
      <c r="P9" s="178" t="n"/>
      <c r="Q9" s="178" t="n"/>
      <c r="R9" s="178" t="n"/>
      <c r="S9" s="178" t="inlineStr">
        <is>
          <t>@cardrush_akiba0</t>
        </is>
      </c>
      <c r="T9" s="178" t="n"/>
      <c r="U9" s="179" t="n"/>
    </row>
    <row r="10" ht="52" customHeight="1">
      <c r="A10" s="94" t="inlineStr">
        <is>
          <t>도쿄</t>
        </is>
      </c>
      <c r="B10" s="95" t="inlineStr">
        <is>
          <t>아키하바라</t>
        </is>
      </c>
      <c r="C10" s="95" t="n">
        <v>6</v>
      </c>
      <c r="D10" s="50" t="inlineStr">
        <is>
          <t>カードラッシュ秋葉原2号店 / Card Rush Akihabara 2</t>
        </is>
      </c>
      <c r="E10" s="50" t="str"/>
      <c r="F10" s="50" t="inlineStr">
        <is>
          <t>東京都千代田区外神田1-3-13 大森ビル1F・2F</t>
        </is>
      </c>
      <c r="G10" s="50" t="inlineStr">
        <is>
          <t>평일 13:00~21:00 / 주말·공휴일 11:00~21:00</t>
        </is>
      </c>
      <c r="H10" s="50" t="inlineStr">
        <is>
          <t>포켓몬·원피스·유희왕 등 다양한 TCG의 싱글과 밀봉 상품을 찾는 이용객이 많은 아키하바라 체인점입니다.</t>
        </is>
      </c>
      <c r="I10" s="50">
        <f>HYPERLINK("https://www.cardrush.jp/page/4","공식/매장 페이지")</f>
        <v/>
      </c>
      <c r="J10" s="50">
        <f>HYPERLINK("https://www.google.com/maps/search/?api=1&amp;query=%E3%82%AB%E3%83%BC%E3%83%89%E3%83%A9%E3%83%83%E3%82%B7%E3%83%A5%E7%A7%8B%E8%91%89%E5%8E%9F2%E5%8F%B7%E5%BA%97%20/%20Card%20Rush%20Akihabara%202%20%E6%9D%B1%E4%BA%AC%E9%83%BD%E5%8D%83%E4%BB%A3%E7%94%B0%E5%8C%BA%E5%A4%96%E7%A5%9E%E7%94%B01-3-13%20%E5%A4%A7%E6%A3%AE%E3%83%93%E3%83%AB1F%E3%83%BB2F","지도·매장사진 보기")</f>
        <v/>
      </c>
      <c r="K10" s="50">
        <f>HYPERLINK("https://www.google.com/search?tbm=isch&amp;q=%E3%82%AB%E3%83%BC%E3%83%89%E3%83%A9%E3%83%83%E3%82%B7%E3%83%A5%E7%A7%8B%E8%91%89%E5%8E%9F2%E5%8F%B7%E5%BA%97%20/%20Card%20Rush%20Akihabara%202%20%E6%9D%B1%E4%BA%AC%E9%83%BD%E5%8D%83%E4%BB%A3%E7%94%B0%E5%8C%BA%E5%A4%96%E7%A5%9E%E7%94%B01-3-13%20%E5%A4%A7%E6%A3%AE%E3%83%93%E3%83%AB1F%E3%83%BB2F","이미지 검색 보기")</f>
        <v/>
      </c>
      <c r="L10" s="50" t="inlineStr">
        <is>
          <t>https://www.cardrush.jp/page/4</t>
        </is>
      </c>
      <c r="M10" s="51" t="inlineStr">
        <is>
          <t>2026-09-11</t>
        </is>
      </c>
      <c r="N10" s="178" t="inlineStr">
        <is>
          <t>없음</t>
        </is>
      </c>
      <c r="O10" s="178" t="n"/>
      <c r="P10" s="178" t="n"/>
      <c r="Q10" s="178" t="n"/>
      <c r="R10" s="178" t="n"/>
      <c r="S10" s="178" t="inlineStr">
        <is>
          <t>@cardrush_akiba2</t>
        </is>
      </c>
      <c r="T10" s="178" t="n"/>
      <c r="U10" s="179" t="n"/>
    </row>
    <row r="11" ht="52" customHeight="1">
      <c r="A11" s="94" t="inlineStr">
        <is>
          <t>도쿄</t>
        </is>
      </c>
      <c r="B11" s="95" t="inlineStr">
        <is>
          <t>아키하바라</t>
        </is>
      </c>
      <c r="C11" s="95" t="n">
        <v>7</v>
      </c>
      <c r="D11" s="50" t="inlineStr">
        <is>
          <t>ドラゴンスター秋葉原店 / Dragon Star Akihabara</t>
        </is>
      </c>
      <c r="E11" s="50" t="inlineStr">
        <is>
          <t>03-6206-8858</t>
        </is>
      </c>
      <c r="F11" s="50" t="inlineStr">
        <is>
          <t>東京都千代田区外神田1-8-11 アキバスタービル2F~3F</t>
        </is>
      </c>
      <c r="G11" s="50" t="inlineStr">
        <is>
          <t>평일 12:00~20:00 / 주말·공휴일 10:30~20:00</t>
        </is>
      </c>
      <c r="H11" s="50" t="inlineStr">
        <is>
          <t>원피스·포켓몬·유희왕 등 다양한 TCG를 취급하는 일본 주요 트레이딩 카드 전문 체인의 아키하바라점입니다.</t>
        </is>
      </c>
      <c r="I11" s="50">
        <f>HYPERLINK("https://dorasuta.jp/shop/detail?scd=9","공식/매장 페이지")</f>
        <v/>
      </c>
      <c r="J11" s="50">
        <f>HYPERLINK("https://www.google.com/maps/search/?api=1&amp;query=%E3%83%89%E3%83%A9%E3%82%B4%E3%83%B3%E3%82%B9%E3%82%BF%E3%83%BC%E7%A7%8B%E8%91%89%E5%8E%9F%E5%BA%97%20/%20Dragon%20Star%20Akihabara%20%E6%9D%B1%E4%BA%AC%E9%83%BD%E5%8D%83%E4%BB%A3%E7%94%B0%E5%8C%BA%E5%A4%96%E7%A5%9E%E7%94%B01-8-11%20%E3%82%A2%E3%82%AD%E3%83%90%E3%82%B9%E3%82%BF%E3%83%BC%E3%83%93%E3%83%AB2F~3F","지도·매장사진 보기")</f>
        <v/>
      </c>
      <c r="K11" s="50">
        <f>HYPERLINK("https://www.google.com/search?tbm=isch&amp;q=%E3%83%89%E3%83%A9%E3%82%B4%E3%83%B3%E3%82%B9%E3%82%BF%E3%83%BC%E7%A7%8B%E8%91%89%E5%8E%9F%E5%BA%97%20/%20Dragon%20Star%20Akihabara%20%E6%9D%B1%E4%BA%AC%E9%83%BD%E5%8D%83%E4%BB%A3%E7%94%B0%E5%8C%BA%E5%A4%96%E7%A5%9E%E7%94%B01-8-11%20%E3%82%A2%E3%82%AD%E3%83%90%E3%82%B9%E3%82%BF%E3%83%BC%E3%83%93%E3%83%AB2F~3F","이미지 검색 보기")</f>
        <v/>
      </c>
      <c r="L11" s="50" t="inlineStr">
        <is>
          <t>https://dorasuta.jp/shop/detail?scd=9</t>
        </is>
      </c>
      <c r="M11" s="51" t="inlineStr">
        <is>
          <t>2026-09-11</t>
        </is>
      </c>
      <c r="N11" s="178" t="inlineStr">
        <is>
          <t>@dorasutagram</t>
        </is>
      </c>
      <c r="O11" s="180" t="inlineStr">
        <is>
          <t>https://www.instagram.com/dorasutagram/</t>
        </is>
      </c>
      <c r="P11" s="180" t="inlineStr">
        <is>
          <t>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</t>
        </is>
      </c>
      <c r="Q11" s="178" t="inlineStr">
        <is>
          <t>인스타 프로필(단기 만료)</t>
        </is>
      </c>
      <c r="R11" s="178" t="n"/>
      <c r="S11" s="178" t="inlineStr">
        <is>
          <t>@ds_akiba</t>
        </is>
      </c>
      <c r="T11" s="178" t="n"/>
      <c r="U11" s="179" t="inlineStr">
        <is>
          <t>브랜드 공식 계정 ドラゴンスター 공식 브랜드 계정 (지점 개별 계정 아님)</t>
        </is>
      </c>
    </row>
    <row r="12" ht="52" customHeight="1">
      <c r="A12" s="94" t="inlineStr">
        <is>
          <t>도쿄</t>
        </is>
      </c>
      <c r="B12" s="95" t="inlineStr">
        <is>
          <t>아키하바라</t>
        </is>
      </c>
      <c r="C12" s="95" t="n">
        <v>8</v>
      </c>
      <c r="D12" s="50" t="inlineStr">
        <is>
          <t>ドラゴンスター秋葉原駅前店 / Dragon Star Akihabara Ekimae</t>
        </is>
      </c>
      <c r="E12" s="50" t="inlineStr">
        <is>
          <t>03-3527-1289</t>
        </is>
      </c>
      <c r="F12" s="50" t="inlineStr">
        <is>
          <t>東京都千代田区外神田1-18-18 Bito Akiba Plaza 6F</t>
        </is>
      </c>
      <c r="G12" s="50" t="inlineStr">
        <is>
          <t>평일 13:00~21:00 / 토 10:00~21:00 / 일·공휴일 10:00~20:00</t>
        </is>
      </c>
      <c r="H12" s="50" t="inlineStr">
        <is>
          <t>아키하바라역 바로 앞에 위치한 멀티 TCG 매장으로 80석 듀얼 스페이스와 다양한 카드게임 상품을 운영합니다.</t>
        </is>
      </c>
      <c r="I12" s="50">
        <f>HYPERLINK("https://dorasuta.jp/shop/detail?scd=12","공식/매장 페이지")</f>
        <v/>
      </c>
      <c r="J12" s="50">
        <f>HYPERLINK("https://www.google.com/maps/search/?api=1&amp;query=%E3%83%89%E3%83%A9%E3%82%B4%E3%83%B3%E3%82%B9%E3%82%BF%E3%83%BC%E7%A7%8B%E8%91%89%E5%8E%9F%E9%A7%85%E5%89%8D%E5%BA%97%20/%20Dragon%20Star%20Akihabara%20Ekimae%20%E6%9D%B1%E4%BA%AC%E9%83%BD%E5%8D%83%E4%BB%A3%E7%94%B0%E5%8C%BA%E5%A4%96%E7%A5%9E%E7%94%B01-18-18%20Bito%20Akiba%20Plaza%206F","지도·매장사진 보기")</f>
        <v/>
      </c>
      <c r="K12" s="50">
        <f>HYPERLINK("https://www.google.com/search?tbm=isch&amp;q=%E3%83%89%E3%83%A9%E3%82%B4%E3%83%B3%E3%82%B9%E3%82%BF%E3%83%BC%E7%A7%8B%E8%91%89%E5%8E%9F%E9%A7%85%E5%89%8D%E5%BA%97%20/%20Dragon%20Star%20Akihabara%20Ekimae%20%E6%9D%B1%E4%BA%AC%E9%83%BD%E5%8D%83%E4%BB%A3%E7%94%B0%E5%8C%BA%E5%A4%96%E7%A5%9E%E7%94%B01-18-18%20Bito%20Akiba%20Plaza%206F","이미지 검색 보기")</f>
        <v/>
      </c>
      <c r="L12" s="50" t="inlineStr">
        <is>
          <t>https://dorasuta.jp/shop/detail?scd=12</t>
        </is>
      </c>
      <c r="M12" s="51" t="inlineStr">
        <is>
          <t>2026-09-11</t>
        </is>
      </c>
      <c r="N12" s="178" t="inlineStr">
        <is>
          <t>@dorasutagram</t>
        </is>
      </c>
      <c r="O12" s="180" t="inlineStr">
        <is>
          <t>https://www.instagram.com/dorasutagram/</t>
        </is>
      </c>
      <c r="P12" s="180" t="inlineStr">
        <is>
          <t>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</t>
        </is>
      </c>
      <c r="Q12" s="178" t="inlineStr">
        <is>
          <t>인스타 프로필(단기 만료)</t>
        </is>
      </c>
      <c r="R12" s="178" t="n"/>
      <c r="S12" s="178" t="inlineStr">
        <is>
          <t>@ds_akiba_ekimae</t>
        </is>
      </c>
      <c r="T12" s="178" t="n"/>
      <c r="U12" s="179" t="inlineStr">
        <is>
          <t>브랜드 공식 계정 ドラゴンスター 공식 브랜드 계정 (row11과 동일 계정)</t>
        </is>
      </c>
    </row>
    <row r="13" ht="52" customHeight="1">
      <c r="A13" s="94" t="inlineStr">
        <is>
          <t>도쿄</t>
        </is>
      </c>
      <c r="B13" s="95" t="inlineStr">
        <is>
          <t>아키하바라</t>
        </is>
      </c>
      <c r="C13" s="95" t="n">
        <v>9</v>
      </c>
      <c r="D13" s="50" t="inlineStr">
        <is>
          <t>晴れる屋2 秋葉原アネックス店 / Hareruya2 Akihabara Annex</t>
        </is>
      </c>
      <c r="E13" s="50" t="inlineStr">
        <is>
          <t>03-4400-9880</t>
        </is>
      </c>
      <c r="F13" s="50" t="inlineStr">
        <is>
          <t>東京都千代田区外神田1-2-5 三笠ビル B1F・1F</t>
        </is>
      </c>
      <c r="G13" s="50" t="inlineStr">
        <is>
          <t>10:00~23:00 / 연중무휴</t>
        </is>
      </c>
      <c r="H13" s="50" t="inlineStr">
        <is>
          <t>아키하바라의 포켓몬 카드 전문점으로 늦은 시간까지 싱글·밀봉 상품과 포켓몬 관련 상품을 폭넓게 취급합니다.</t>
        </is>
      </c>
      <c r="I13" s="50">
        <f>HYPERLINK("https://www.hareruya2.com/pages/store_menu-en","공식/매장 페이지")</f>
        <v/>
      </c>
      <c r="J13" s="50">
        <f>HYPERLINK("https://www.google.com/maps/search/?api=1&amp;query=%E6%99%B4%E3%82%8C%E3%82%8B%E5%B1%8B2%20%E7%A7%8B%E8%91%89%E5%8E%9F%E3%82%A2%E3%83%8D%E3%83%83%E3%82%AF%E3%82%B9%E5%BA%97%20/%20Hareruya2%20Akihabara%20Annex%20%E6%9D%B1%E4%BA%AC%E9%83%BD%E5%8D%83%E4%BB%A3%E7%94%B0%E5%8C%BA%E5%A4%96%E7%A5%9E%E7%94%B01-2-5%20%E4%B8%89%E7%AC%A0%E3%83%93%E3%83%AB%20B1F%E3%83%BB1F","지도·매장사진 보기")</f>
        <v/>
      </c>
      <c r="K13" s="50">
        <f>HYPERLINK("https://www.google.com/search?tbm=isch&amp;q=%E6%99%B4%E3%82%8C%E3%82%8B%E5%B1%8B2%20%E7%A7%8B%E8%91%89%E5%8E%9F%E3%82%A2%E3%83%8D%E3%83%83%E3%82%AF%E3%82%B9%E5%BA%97%20/%20Hareruya2%20Akihabara%20Annex%20%E6%9D%B1%E4%BA%AC%E9%83%BD%E5%8D%83%E4%BB%A3%E7%94%B0%E5%8C%BA%E5%A4%96%E7%A5%9E%E7%94%B01-2-5%20%E4%B8%89%E7%AC%A0%E3%83%93%E3%83%AB%20B1F%E3%83%BB1F","이미지 검색 보기")</f>
        <v/>
      </c>
      <c r="L13" s="50" t="inlineStr">
        <is>
          <t>https://www.hareruya2.com/pages/store_menu-en</t>
        </is>
      </c>
      <c r="M13" s="51" t="inlineStr">
        <is>
          <t>2026-09-11</t>
        </is>
      </c>
      <c r="N13" s="178" t="inlineStr">
        <is>
          <t>@hareruya2_pokeca</t>
        </is>
      </c>
      <c r="O13" s="180" t="inlineStr">
        <is>
          <t>https://www.instagram.com/hareruya2_pokeca/</t>
        </is>
      </c>
      <c r="P13" s="180" t="inlineStr">
        <is>
          <t>https://hareruya2-filepool.s3.us-east-1.amazonaws.com/page/store_menu/img_2604_hare2anex.webp</t>
        </is>
      </c>
      <c r="Q13" s="178" t="inlineStr">
        <is>
          <t>공식 사이트</t>
        </is>
      </c>
      <c r="R13" s="180" t="inlineStr">
        <is>
          <t>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</t>
        </is>
      </c>
      <c r="S13" s="178" t="inlineStr">
        <is>
          <t>@hareruya2pokeca</t>
        </is>
      </c>
      <c r="T13" s="178" t="n"/>
      <c r="U13" s="179" t="inlineStr">
        <is>
          <t>브랜드 공식 계정 晴れる屋2 공식 브랜드 계정, 아키하바라 매장 언급</t>
        </is>
      </c>
    </row>
    <row r="14" ht="52" customHeight="1">
      <c r="A14" s="94" t="inlineStr">
        <is>
          <t>도쿄</t>
        </is>
      </c>
      <c r="B14" s="95" t="inlineStr">
        <is>
          <t>아키하바라</t>
        </is>
      </c>
      <c r="C14" s="95" t="n">
        <v>10</v>
      </c>
      <c r="D14" s="50" t="inlineStr">
        <is>
          <t>晴れる屋2 秋葉原タワー店 / Hareruya2 Akihabara Tower</t>
        </is>
      </c>
      <c r="E14" s="50" t="inlineStr">
        <is>
          <t>03-6285-2830</t>
        </is>
      </c>
      <c r="F14" s="50" t="inlineStr">
        <is>
          <t>東京都千代田区外神田1丁目2-13 石丸3号館ビル</t>
        </is>
      </c>
      <c r="G14" s="50" t="inlineStr">
        <is>
          <t>10:00~22:00 / 연중무휴</t>
        </is>
      </c>
      <c r="H14" s="50" t="inlineStr">
        <is>
          <t>포켓몬 카드 전문 대형 매장으로 싱글·밀봉·서플라이·매입과 152석 플레이 공간을 운영합니다.</t>
        </is>
      </c>
      <c r="I14" s="50">
        <f>HYPERLINK("https://www.hareruya2.com/pages/store_tower","공식/매장 페이지")</f>
        <v/>
      </c>
      <c r="J14" s="50">
        <f>HYPERLINK("https://www.google.com/maps/search/?api=1&amp;query=%E6%99%B4%E3%82%8C%E3%82%8B%E5%B1%8B2%20%E7%A7%8B%E8%91%89%E5%8E%9F%E3%82%BF%E3%83%AF%E3%83%BC%E5%BA%97%20/%20Hareruya2%20Akihabara%20Tower%20%E6%9D%B1%E4%BA%AC%E9%83%BD%E5%8D%83%E4%BB%A3%E7%94%B0%E5%8C%BA%E5%A4%96%E7%A5%9E%E7%94%B01%E4%B8%81%E7%9B%AE2-13%20%E7%9F%B3%E4%B8%B83%E5%8F%B7%E9%A4%A8%E3%83%93%E3%83%AB","지도·매장사진 보기")</f>
        <v/>
      </c>
      <c r="K14" s="50">
        <f>HYPERLINK("https://www.google.com/search?tbm=isch&amp;q=%E6%99%B4%E3%82%8C%E3%82%8B%E5%B1%8B2%20%E7%A7%8B%E8%91%89%E5%8E%9F%E3%82%BF%E3%83%AF%E3%83%BC%E5%BA%97%20/%20Hareruya2%20Akihabara%20Tower%20%E6%9D%B1%E4%BA%AC%E9%83%BD%E5%8D%83%E4%BB%A3%E7%94%B0%E5%8C%BA%E5%A4%96%E7%A5%9E%E7%94%B01%E4%B8%81%E7%9B%AE2-13%20%E7%9F%B3%E4%B8%B83%E5%8F%B7%E9%A4%A8%E3%83%93%E3%83%AB","이미지 검색 보기")</f>
        <v/>
      </c>
      <c r="L14" s="50" t="inlineStr">
        <is>
          <t>https://www.hareruya2.com/pages/store_tower</t>
        </is>
      </c>
      <c r="M14" s="51" t="inlineStr">
        <is>
          <t>2026-09-11</t>
        </is>
      </c>
      <c r="N14" s="178" t="inlineStr">
        <is>
          <t>@hareruya2_pokeca</t>
        </is>
      </c>
      <c r="O14" s="180" t="inlineStr">
        <is>
          <t>https://www.instagram.com/hareruya2_pokeca/</t>
        </is>
      </c>
      <c r="P14" s="180" t="inlineStr">
        <is>
          <t>https://hareruya2-filepool.s3.us-east-1.amazonaws.com/page/store_tower/img_2601_towerA.webp</t>
        </is>
      </c>
      <c r="Q14" s="178" t="inlineStr">
        <is>
          <t>공식 사이트</t>
        </is>
      </c>
      <c r="R14" s="180" t="inlineStr">
        <is>
          <t>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</t>
        </is>
      </c>
      <c r="S14" s="178" t="inlineStr">
        <is>
          <t>@hareruya2tower</t>
        </is>
      </c>
      <c r="T14" s="178" t="n"/>
      <c r="U14" s="179" t="inlineStr">
        <is>
          <t>브랜드 공식 계정 晴れる屋2 공식 브랜드 계정 (row13과 동일 계정)</t>
        </is>
      </c>
    </row>
    <row r="15" ht="52" customHeight="1">
      <c r="A15" s="94" t="inlineStr">
        <is>
          <t>도쿄</t>
        </is>
      </c>
      <c r="B15" s="95" t="inlineStr">
        <is>
          <t>이케부쿠로</t>
        </is>
      </c>
      <c r="C15" s="95" t="n">
        <v>1</v>
      </c>
      <c r="D15" s="50" t="inlineStr">
        <is>
          <t>Card Box Ikebukuro</t>
        </is>
      </c>
      <c r="E15" s="50" t="inlineStr">
        <is>
          <t>03-5843-3836</t>
        </is>
      </c>
      <c r="F15" s="50" t="inlineStr">
        <is>
          <t>東京都豊島区東池袋1-31-1 Broque Court Ikebukuro 2F</t>
        </is>
      </c>
      <c r="G15" s="50" t="inlineStr">
        <is>
          <t>월·수·토·일 10:00~22:00 / 화·목·금 12:00~22:00</t>
        </is>
      </c>
      <c r="H15" s="50" t="inlineStr">
        <is>
          <t>다양한 TCG 상품과 싱글 카드, 플레이 수요를 함께 대응하는 이케부쿠로 카드숍입니다.</t>
        </is>
      </c>
      <c r="I15" s="50" t="inlineStr">
        <is>
          <t>공식 페이지 미확인</t>
        </is>
      </c>
      <c r="J15" s="50">
        <f>HYPERLINK("https://www.google.com/maps/search/?api=1&amp;query=Card%20Box%20Ikebukuro%20%E6%9D%B1%E4%BA%AC%E9%83%BD%E8%B1%8A%E5%B3%B6%E5%8C%BA%E6%9D%B1%E6%B1%A0%E8%A2%8B1-31-1%20Broque%20Court%20Ikebukuro%202F","지도·매장사진 보기")</f>
        <v/>
      </c>
      <c r="K15" s="50">
        <f>HYPERLINK("https://www.google.com/search?tbm=isch&amp;q=Card%20Box%20Ikebukuro%20%E6%9D%B1%E4%BA%AC%E9%83%BD%E8%B1%8A%E5%B3%B6%E5%8C%BA%E6%9D%B1%E6%B1%A0%E8%A2%8B1-31-1%20Broque%20Court%20Ikebukuro%202F","이미지 검색 보기")</f>
        <v/>
      </c>
      <c r="L15" s="50" t="inlineStr">
        <is>
          <t>https://www.google.com/maps/search/?api=1&amp;query=Card%20Box%20Ikebukuro%20%E6%9D%B1%E4%BA%AC%E9%83%BD%E8%B1%8A%E5%B3%B6%E5%8C%BA%E6%9D%B1%E6%B1%A0%E8%A2%8B1-31-1%20Broque%20Court%20Ikebukuro%202F</t>
        </is>
      </c>
      <c r="M15" s="51" t="inlineStr">
        <is>
          <t>2026-09-11</t>
        </is>
      </c>
      <c r="N15" s="178" t="inlineStr">
        <is>
          <t>없음</t>
        </is>
      </c>
      <c r="O15" s="178" t="n"/>
      <c r="P15" s="178" t="n"/>
      <c r="Q15" s="178" t="n"/>
      <c r="R15" s="178" t="n"/>
      <c r="S15" s="178" t="n"/>
      <c r="T15" s="178" t="n"/>
      <c r="U15" s="179" t="inlineStr">
        <is>
          <t>공식 사이트/검색 모두 미확인</t>
        </is>
      </c>
    </row>
    <row r="16" ht="52" customHeight="1">
      <c r="A16" s="94" t="inlineStr">
        <is>
          <t>도쿄</t>
        </is>
      </c>
      <c r="B16" s="95" t="inlineStr">
        <is>
          <t>이케부쿠로</t>
        </is>
      </c>
      <c r="C16" s="95" t="n">
        <v>2</v>
      </c>
      <c r="D16" s="50" t="inlineStr">
        <is>
          <t>Ninnin Ikebukuro</t>
        </is>
      </c>
      <c r="E16" s="50" t="inlineStr">
        <is>
          <t>03-6907-2134</t>
        </is>
      </c>
      <c r="F16" s="50" t="inlineStr">
        <is>
          <t>東京都豊島区東池袋1-23-13 第一岡村ビル3F</t>
        </is>
      </c>
      <c r="G16" s="50" t="inlineStr">
        <is>
          <t>평일 13:00~20:00 / 주말 11:00~20:00</t>
        </is>
      </c>
      <c r="H16" s="50" t="inlineStr">
        <is>
          <t>원피스 카드와 다양한 TCG 싱글을 취급하며 캐주얼 수집·플레이 고객이 찾는 이케부쿠로 매장입니다.</t>
        </is>
      </c>
      <c r="I16" s="50" t="inlineStr">
        <is>
          <t>공식 페이지 미확인</t>
        </is>
      </c>
      <c r="J16" s="50">
        <f>HYPERLINK("https://www.google.com/maps/search/?api=1&amp;query=Ninnin%20Ikebukuro%20%E6%9D%B1%E4%BA%AC%E9%83%BD%E8%B1%8A%E5%B3%B6%E5%8C%BA%E6%9D%B1%E6%B1%A0%E8%A2%8B1-23-13%20%E7%AC%AC%E4%B8%80%E5%B2%A1%E6%9D%91%E3%83%93%E3%83%AB3F","지도·매장사진 보기")</f>
        <v/>
      </c>
      <c r="K16" s="50">
        <f>HYPERLINK("https://www.google.com/search?tbm=isch&amp;q=Ninnin%20Ikebukuro%20%E6%9D%B1%E4%BA%AC%E9%83%BD%E8%B1%8A%E5%B3%B6%E5%8C%BA%E6%9D%B1%E6%B1%A0%E8%A2%8B1-23-13%20%E7%AC%AC%E4%B8%80%E5%B2%A1%E6%9D%91%E3%83%93%E3%83%AB3F","이미지 검색 보기")</f>
        <v/>
      </c>
      <c r="L16" s="50" t="inlineStr">
        <is>
          <t>https://www.google.com/maps/search/?api=1&amp;query=Ninnin%20Ikebukuro%20%E6%9D%B1%E4%BA%AC%E9%83%BD%E8%B1%8A%E5%B3%B6%E5%8C%BA%E6%9D%B1%E6%B1%A0%E8%A2%8B1-23-13%20%E7%AC%AC%E4%B8%80%E5%B2%A1%E6%9D%91%E3%83%93%E3%83%AB3F</t>
        </is>
      </c>
      <c r="M16" s="51" t="inlineStr">
        <is>
          <t>2026-09-11</t>
        </is>
      </c>
      <c r="N16" s="178" t="inlineStr">
        <is>
          <t>@ninnin_ikebukuro</t>
        </is>
      </c>
      <c r="O16" s="180" t="inlineStr">
        <is>
          <t>https://www.instagram.com/ninnin_ikebukuro/</t>
        </is>
      </c>
      <c r="P16" s="180" t="inlineStr">
        <is>
          <t>https://scontent-icn2-1.cdninstagram.com/v/t51.2885-19/474641042_1860580054770138_624441163166973666_n.jpg?stp=dst-jpg_s150x150_tt6&amp;_nc_cat=111&amp;ccb=7-5&amp;_nc_sid=f7ccc5&amp;efg=eyJ2ZW5jb2RlX3RhZyI6InByb2ZpbGVfcGljLnd3dy4zOTguQzMifQ%3D%3D&amp;_nc_ohc=POvE1aTUJiUQ7kNvwGbWM70&amp;_nc_oc=Ado13JfSzxGRuyppOFXt69Ecd5Cg5OyCDyil8SyN5B8uMYjhOzNfxqtrugcXPtwRWgY&amp;_nc_zt=24&amp;_nc_ht=scontent-icn2-1.cdninstagram.com&amp;_nc_ss=7fa02&amp;oh=00_AQLZbvE_UD-XtvPeKILos6MMjz4et0Q89-_TZVpRlChIwg&amp;oe=6AA9F713</t>
        </is>
      </c>
      <c r="Q16" s="178" t="inlineStr">
        <is>
          <t>인스타 프로필(단기 만료)</t>
        </is>
      </c>
      <c r="R16" s="178" t="n"/>
      <c r="S16" s="178" t="n"/>
      <c r="T16" s="178" t="n"/>
      <c r="U16" s="179" t="inlineStr">
        <is>
          <t>표시명이 매장명(Ninnin Ikebukuro)과 정확히 일치</t>
        </is>
      </c>
    </row>
    <row r="17" ht="52" customHeight="1">
      <c r="A17" s="94" t="inlineStr">
        <is>
          <t>도쿄</t>
        </is>
      </c>
      <c r="B17" s="95" t="inlineStr">
        <is>
          <t>이케부쿠로</t>
        </is>
      </c>
      <c r="C17" s="95" t="n">
        <v>3</v>
      </c>
      <c r="D17" s="50" t="inlineStr">
        <is>
          <t>カードラッシュ池袋店 / Card Rush Ikebukuro</t>
        </is>
      </c>
      <c r="E17" s="50" t="str"/>
      <c r="F17" s="50" t="inlineStr">
        <is>
          <t>東京都豊島区東池袋1-13-10 岡安園5F</t>
        </is>
      </c>
      <c r="G17" s="50" t="inlineStr">
        <is>
          <t>평일 13:00~21:00 / 주말·공휴일 11:00~21:00</t>
        </is>
      </c>
      <c r="H17" s="50" t="inlineStr">
        <is>
          <t>인기 TCG 싱글과 밀봉 상품을 폭넓게 취급하는 카드러시의 이케부쿠로점입니다.</t>
        </is>
      </c>
      <c r="I17" s="50">
        <f>HYPERLINK("https://www.cardrush.jp/page/4","공식/매장 페이지")</f>
        <v/>
      </c>
      <c r="J17" s="50">
        <f>HYPERLINK("https://www.google.com/maps/search/?api=1&amp;query=%E3%82%AB%E3%83%BC%E3%83%89%E3%83%A9%E3%83%83%E3%82%B7%E3%83%A5%E6%B1%A0%E8%A2%8B%E5%BA%97%20/%20Card%20Rush%20Ikebukuro%20%E6%9D%B1%E4%BA%AC%E9%83%BD%E8%B1%8A%E5%B3%B6%E5%8C%BA%E6%9D%B1%E6%B1%A0%E8%A2%8B1-13-10%20%E5%B2%A1%E5%AE%89%E5%9C%925F","지도·매장사진 보기")</f>
        <v/>
      </c>
      <c r="K17" s="50">
        <f>HYPERLINK("https://www.google.com/search?tbm=isch&amp;q=%E3%82%AB%E3%83%BC%E3%83%89%E3%83%A9%E3%83%83%E3%82%B7%E3%83%A5%E6%B1%A0%E8%A2%8B%E5%BA%97%20/%20Card%20Rush%20Ikebukuro%20%E6%9D%B1%E4%BA%AC%E9%83%BD%E8%B1%8A%E5%B3%B6%E5%8C%BA%E6%9D%B1%E6%B1%A0%E8%A2%8B1-13-10%20%E5%B2%A1%E5%AE%89%E5%9C%925F","이미지 검색 보기")</f>
        <v/>
      </c>
      <c r="L17" s="50" t="inlineStr">
        <is>
          <t>https://www.cardrush.jp/page/4</t>
        </is>
      </c>
      <c r="M17" s="51" t="inlineStr">
        <is>
          <t>2026-09-11</t>
        </is>
      </c>
      <c r="N17" s="178" t="inlineStr">
        <is>
          <t>없음</t>
        </is>
      </c>
      <c r="O17" s="178" t="n"/>
      <c r="P17" s="178" t="n"/>
      <c r="Q17" s="178" t="n"/>
      <c r="R17" s="178" t="n"/>
      <c r="S17" s="178" t="inlineStr">
        <is>
          <t>@cardrush_ikebuk</t>
        </is>
      </c>
      <c r="T17" s="178" t="n"/>
      <c r="U17" s="179" t="n"/>
    </row>
    <row r="18" ht="52" customHeight="1">
      <c r="A18" s="94" t="inlineStr">
        <is>
          <t>도쿄</t>
        </is>
      </c>
      <c r="B18" s="95" t="inlineStr">
        <is>
          <t>이케부쿠로</t>
        </is>
      </c>
      <c r="C18" s="95" t="n">
        <v>4</v>
      </c>
      <c r="D18" s="50" t="inlineStr">
        <is>
          <t>ドラゴンスター池袋店 / Dragon Star Ikebukuro</t>
        </is>
      </c>
      <c r="E18" s="50" t="str"/>
      <c r="F18" s="50" t="inlineStr">
        <is>
          <t>東京都豊島区東池袋1-30-6 セイコーサンシャインビルXII 4F</t>
        </is>
      </c>
      <c r="G18" s="50" t="inlineStr">
        <is>
          <t>평일 13:00~21:00 / 토 10:00~21:00 / 일·공휴일 10:00~20:00</t>
        </is>
      </c>
      <c r="H18" s="50" t="inlineStr">
        <is>
          <t>대형 멀티 TCG 체인의 이케부쿠로점으로 싱글·신상품과 대회/플레이 수요가 함께 형성되는 매장입니다.</t>
        </is>
      </c>
      <c r="I18" s="50">
        <f>HYPERLINK("https://dorasuta.jp/shop/detail?scd=17","공식/매장 페이지")</f>
        <v/>
      </c>
      <c r="J18" s="50">
        <f>HYPERLINK("https://www.google.com/maps/search/?api=1&amp;query=%E3%83%89%E3%83%A9%E3%82%B4%E3%83%B3%E3%82%B9%E3%82%BF%E3%83%BC%E6%B1%A0%E8%A2%8B%E5%BA%97%20/%20Dragon%20Star%20Ikebukuro%20%E6%9D%B1%E4%BA%AC%E9%83%BD%E8%B1%8A%E5%B3%B6%E5%8C%BA%E6%9D%B1%E6%B1%A0%E8%A2%8B1-30-6%20%E3%82%BB%E3%82%A4%E3%82%B3%E3%83%BC%E3%82%B5%E3%83%B3%E3%82%B7%E3%83%A3%E3%82%A4%E3%83%B3%E3%83%93%E3%83%ABXII%204F","지도·매장사진 보기")</f>
        <v/>
      </c>
      <c r="K18" s="50">
        <f>HYPERLINK("https://www.google.com/search?tbm=isch&amp;q=%E3%83%89%E3%83%A9%E3%82%B4%E3%83%B3%E3%82%B9%E3%82%BF%E3%83%BC%E6%B1%A0%E8%A2%8B%E5%BA%97%20/%20Dragon%20Star%20Ikebukuro%20%E6%9D%B1%E4%BA%AC%E9%83%BD%E8%B1%8A%E5%B3%B6%E5%8C%BA%E6%9D%B1%E6%B1%A0%E8%A2%8B1-30-6%20%E3%82%BB%E3%82%A4%E3%82%B3%E3%83%BC%E3%82%B5%E3%83%B3%E3%82%B7%E3%83%A3%E3%82%A4%E3%83%B3%E3%83%93%E3%83%ABXII%204F","이미지 검색 보기")</f>
        <v/>
      </c>
      <c r="L18" s="50" t="inlineStr">
        <is>
          <t>https://dorasuta.jp/shop/detail?scd=17</t>
        </is>
      </c>
      <c r="M18" s="51" t="inlineStr">
        <is>
          <t>2026-09-11</t>
        </is>
      </c>
      <c r="N18" s="178" t="inlineStr">
        <is>
          <t>@dorasutagram</t>
        </is>
      </c>
      <c r="O18" s="180" t="inlineStr">
        <is>
          <t>https://www.instagram.com/dorasutagram/</t>
        </is>
      </c>
      <c r="P18" s="180" t="inlineStr">
        <is>
          <t>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</t>
        </is>
      </c>
      <c r="Q18" s="178" t="inlineStr">
        <is>
          <t>인스타 프로필(단기 만료)</t>
        </is>
      </c>
      <c r="R18" s="178" t="n"/>
      <c r="S18" s="178" t="n"/>
      <c r="T18" s="178" t="n"/>
      <c r="U18" s="179" t="inlineStr">
        <is>
          <t>브랜드 공식 계정 ドラゴンスター 공식 브랜드 계정</t>
        </is>
      </c>
    </row>
    <row r="19" ht="52" customHeight="1">
      <c r="A19" s="94" t="inlineStr">
        <is>
          <t>도쿄</t>
        </is>
      </c>
      <c r="B19" s="95" t="inlineStr">
        <is>
          <t>이케부쿠로</t>
        </is>
      </c>
      <c r="C19" s="95" t="n">
        <v>5</v>
      </c>
      <c r="D19" s="50" t="inlineStr">
        <is>
          <t>晴れる屋2 池袋店 / Hareruya2 Ikebukuro</t>
        </is>
      </c>
      <c r="E19" s="50" t="inlineStr">
        <is>
          <t>03-4500-5105</t>
        </is>
      </c>
      <c r="F19" s="50" t="inlineStr">
        <is>
          <t>東京都豊島区東池袋1-41-6 菊邑91ビル8F</t>
        </is>
      </c>
      <c r="G19" s="50" t="inlineStr">
        <is>
          <t>10:00~22:00 / 연중무휴</t>
        </is>
      </c>
      <c r="H19" s="50" t="inlineStr">
        <is>
          <t>76석 플레이 공간을 갖춘 포켓몬 카드 전문점으로 판매·매입·이벤트가 모두 활발한 이케부쿠로 거점입니다.</t>
        </is>
      </c>
      <c r="I19" s="50">
        <f>HYPERLINK("https://www.hareruya2.com/en/pages/store_ikebukuro-en","공식/매장 페이지")</f>
        <v/>
      </c>
      <c r="J19" s="50">
        <f>HYPERLINK("https://www.google.com/maps/search/?api=1&amp;query=%E6%99%B4%E3%82%8C%E3%82%8B%E5%B1%8B2%20%E6%B1%A0%E8%A2%8B%E5%BA%97%20/%20Hareruya2%20Ikebukuro%20%E6%9D%B1%E4%BA%AC%E9%83%BD%E8%B1%8A%E5%B3%B6%E5%8C%BA%E6%9D%B1%E6%B1%A0%E8%A2%8B1-41-6%20%E8%8F%8A%E9%82%9191%E3%83%93%E3%83%AB8F","지도·매장사진 보기")</f>
        <v/>
      </c>
      <c r="K19" s="50">
        <f>HYPERLINK("https://www.google.com/search?tbm=isch&amp;q=%E6%99%B4%E3%82%8C%E3%82%8B%E5%B1%8B2%20%E6%B1%A0%E8%A2%8B%E5%BA%97%20/%20Hareruya2%20Ikebukuro%20%E6%9D%B1%E4%BA%AC%E9%83%BD%E8%B1%8A%E5%B3%B6%E5%8C%BA%E6%9D%B1%E6%B1%A0%E8%A2%8B1-41-6%20%E8%8F%8A%E9%82%9191%E3%83%93%E3%83%AB8F","이미지 검색 보기")</f>
        <v/>
      </c>
      <c r="L19" s="50" t="inlineStr">
        <is>
          <t>https://www.hareruya2.com/en/pages/store_ikebukuro-en</t>
        </is>
      </c>
      <c r="M19" s="51" t="inlineStr">
        <is>
          <t>2026-09-11</t>
        </is>
      </c>
      <c r="N19" s="178" t="inlineStr">
        <is>
          <t>@hareruya2_pokeca</t>
        </is>
      </c>
      <c r="O19" s="180" t="inlineStr">
        <is>
          <t>https://www.instagram.com/hareruya2_pokeca/</t>
        </is>
      </c>
      <c r="P19" s="180" t="inlineStr">
        <is>
          <t>https://hareruya2-filepool.s3.us-east-1.amazonaws.com/page/store_ikebukuro/ikebukuro.webp</t>
        </is>
      </c>
      <c r="Q19" s="178" t="inlineStr">
        <is>
          <t>공식 사이트</t>
        </is>
      </c>
      <c r="R19" s="180" t="inlineStr">
        <is>
          <t>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</t>
        </is>
      </c>
      <c r="S19" s="178" t="inlineStr">
        <is>
          <t>@hareruya2ikbkr</t>
        </is>
      </c>
      <c r="T19" s="178" t="n"/>
      <c r="U19" s="179" t="inlineStr">
        <is>
          <t>브랜드 공식 계정 晴れる屋2 공식 브랜드 계정</t>
        </is>
      </c>
    </row>
    <row r="20" ht="52" customHeight="1">
      <c r="A20" s="94" t="inlineStr">
        <is>
          <t>도쿄</t>
        </is>
      </c>
      <c r="B20" s="95" t="inlineStr">
        <is>
          <t>시부야</t>
        </is>
      </c>
      <c r="C20" s="95" t="n">
        <v>1</v>
      </c>
      <c r="D20" s="50" t="inlineStr">
        <is>
          <t>MINT 渋谷店 / MINT Shibuya</t>
        </is>
      </c>
      <c r="E20" s="50" t="inlineStr">
        <is>
          <t>03-6277-5205</t>
        </is>
      </c>
      <c r="F20" s="50" t="inlineStr">
        <is>
          <t>東京都渋谷区宇田川町15-1 渋谷PARCO B1F</t>
        </is>
      </c>
      <c r="G20" s="50" t="inlineStr">
        <is>
          <t>11:00~21:00</t>
        </is>
      </c>
      <c r="H20" s="50" t="inlineStr">
        <is>
          <t>MLB·NBA·축구 등 스포츠카드와 MTG·포켓몬·원피스 등을 함께 취급하는 스포츠/TCG 전문점입니다.</t>
        </is>
      </c>
      <c r="I20" s="50">
        <f>HYPERLINK("https://mint-web.jp/?pid=39086084","공식/매장 페이지")</f>
        <v/>
      </c>
      <c r="J20" s="50">
        <f>HYPERLINK("https://www.google.com/maps/search/?api=1&amp;query=MINT%20%E6%B8%8B%E8%B0%B7%E5%BA%97%20/%20MINT%20Shibuya%20%E6%9D%B1%E4%BA%AC%E9%83%BD%E6%B8%8B%E8%B0%B7%E5%8C%BA%E5%AE%87%E7%94%B0%E5%B7%9D%E7%94%BA15-1%20%E6%B8%8B%E8%B0%B7PARCO%20B1F","지도·매장사진 보기")</f>
        <v/>
      </c>
      <c r="K20" s="50">
        <f>HYPERLINK("https://www.google.com/search?tbm=isch&amp;q=MINT%20%E6%B8%8B%E8%B0%B7%E5%BA%97%20/%20MINT%20Shibuya%20%E6%9D%B1%E4%BA%AC%E9%83%BD%E6%B8%8B%E8%B0%B7%E5%8C%BA%E5%AE%87%E7%94%B0%E5%B7%9D%E7%94%BA15-1%20%E6%B8%8B%E8%B0%B7PARCO%20B1F","이미지 검색 보기")</f>
        <v/>
      </c>
      <c r="L20" s="50" t="inlineStr">
        <is>
          <t>https://mint-web.jp/?pid=39086084</t>
        </is>
      </c>
      <c r="M20" s="51" t="inlineStr">
        <is>
          <t>2026-09-11</t>
        </is>
      </c>
      <c r="N20" s="178" t="inlineStr">
        <is>
          <t>@mintcardshibuya</t>
        </is>
      </c>
      <c r="O20" s="180" t="inlineStr">
        <is>
          <t>https://www.instagram.com/mintcardshibuya/</t>
        </is>
      </c>
      <c r="P20" s="180" t="inlineStr">
        <is>
          <t>https://scontent-icn2-1.cdninstagram.com/v/t51.82787-19/538999769_17921322579131792_5156151328474301223_n.jpg?stp=dst-jpg_s150x150_tt6&amp;_nc_cat=105&amp;ccb=7-5&amp;_nc_sid=f7ccc5&amp;efg=eyJ2ZW5jb2RlX3RhZyI6InByb2ZpbGVfcGljLnd3dy40MDAuQzMifQ%3D%3D&amp;_nc_ohc=4S2xDip1W7cQ7kNvwGMDrIN&amp;_nc_oc=AdqDGDPeLqVhJB-U-bOr2BrrVFkN1ms1OaTfXJsFFoVK3km1Ji2RLYw8xcY17Myg0HQ&amp;_nc_zt=24&amp;_nc_ht=scontent-icn2-1.cdninstagram.com&amp;_nc_gid=zs6ZsnN7lgaN69xGRivfIA&amp;_nc_ss=7fa02&amp;oh=00_AQL8lzF3XEYYXFk8XgBF_DSXjgMdAEgs9gtCC2mD2wONyw&amp;oe=6AA98051</t>
        </is>
      </c>
      <c r="Q20" s="178" t="inlineStr">
        <is>
          <t>인스타 프로필(단기 만료)</t>
        </is>
      </c>
      <c r="R20" s="178" t="n"/>
      <c r="S20" s="178" t="inlineStr">
        <is>
          <t>@mint_shibuya</t>
        </is>
      </c>
      <c r="T20" s="178" t="n"/>
      <c r="U20" s="179" t="inlineStr">
        <is>
          <t>프로필 검증 완료</t>
        </is>
      </c>
    </row>
    <row r="21" ht="52" customHeight="1">
      <c r="A21" s="94" t="inlineStr">
        <is>
          <t>도쿄</t>
        </is>
      </c>
      <c r="B21" s="95" t="inlineStr">
        <is>
          <t>시부야</t>
        </is>
      </c>
      <c r="C21" s="95" t="n">
        <v>2</v>
      </c>
      <c r="D21" s="50" t="inlineStr">
        <is>
          <t>POKÉMON CARD LOUNGE</t>
        </is>
      </c>
      <c r="E21" s="50" t="inlineStr">
        <is>
          <t>03-6837-3000</t>
        </is>
      </c>
      <c r="F21" s="50" t="inlineStr">
        <is>
          <t>東京都渋谷区宇田川町21-6 QFRONT 5F</t>
        </is>
      </c>
      <c r="G21" s="50" t="inlineStr">
        <is>
          <t>10:00~22:30 (공개 지도 기준)</t>
        </is>
      </c>
      <c r="H21" s="50" t="inlineStr">
        <is>
          <t>시부야에서 포켓몬 카드 플레이와 체험을 중심으로 즐길 수 있는 공식 콘셉트 라운지형 공간입니다.</t>
        </is>
      </c>
      <c r="I21" s="50" t="inlineStr">
        <is>
          <t>공식 페이지 미확인</t>
        </is>
      </c>
      <c r="J21" s="50">
        <f>HYPERLINK("https://www.google.com/maps/search/?api=1&amp;query=POK%C3%89MON%20CARD%20LOUNGE%20%E6%9D%B1%E4%BA%AC%E9%83%BD%E6%B8%8B%E8%B0%B7%E5%8C%BA%E5%AE%87%E7%94%B0%E5%B7%9D%E7%94%BA21-6%20QFRONT%205F","지도·매장사진 보기")</f>
        <v/>
      </c>
      <c r="K21" s="50">
        <f>HYPERLINK("https://www.google.com/search?tbm=isch&amp;q=POK%C3%89MON%20CARD%20LOUNGE%20%E6%9D%B1%E4%BA%AC%E9%83%BD%E6%B8%8B%E8%B0%B7%E5%8C%BA%E5%AE%87%E7%94%B0%E5%B7%9D%E7%94%BA21-6%20QFRONT%205F","이미지 검색 보기")</f>
        <v/>
      </c>
      <c r="L21" s="50" t="inlineStr">
        <is>
          <t>https://www.google.com/maps/search/?api=1&amp;query=POK%C3%89MON%20CARD%20LOUNGE%20%E6%9D%B1%E4%BA%AC%E9%83%BD%E6%B8%8B%E8%B0%B7%E5%8C%BA%E5%AE%87%E7%94%B0%E5%B7%9D%E7%94%BA21-6%20QFRONT%205F</t>
        </is>
      </c>
      <c r="M21" s="51" t="inlineStr">
        <is>
          <t>2026-09-11</t>
        </is>
      </c>
      <c r="N21" s="178" t="inlineStr">
        <is>
          <t>없음</t>
        </is>
      </c>
      <c r="O21" s="178" t="n"/>
      <c r="P21" s="178" t="n"/>
      <c r="Q21" s="178" t="n"/>
      <c r="R21" s="178" t="n"/>
      <c r="S21" s="178" t="n"/>
      <c r="T21" s="178" t="n"/>
      <c r="U21" s="179" t="inlineStr">
        <is>
          <t>공식 사이트/검색 모두 미확인</t>
        </is>
      </c>
    </row>
    <row r="22" ht="52" customHeight="1">
      <c r="A22" s="94" t="inlineStr">
        <is>
          <t>도쿄</t>
        </is>
      </c>
      <c r="B22" s="95" t="inlineStr">
        <is>
          <t>신주쿠·다카다노바바</t>
        </is>
      </c>
      <c r="C22" s="95" t="n">
        <v>1</v>
      </c>
      <c r="D22" s="50" t="inlineStr">
        <is>
          <t>ONE PIECE BASE SHOP</t>
        </is>
      </c>
      <c r="E22" s="50" t="str"/>
      <c r="F22" s="50" t="inlineStr">
        <is>
          <t>東京都新宿区新宿3-30-13 新宿マルイ本館4F</t>
        </is>
      </c>
      <c r="G22" s="50" t="inlineStr">
        <is>
          <t>11:00~20:00 내외 (시설 운영 기준)</t>
        </is>
      </c>
      <c r="H22" s="50" t="inlineStr">
        <is>
          <t>원피스 IP를 중심으로 카드게임과 관련 상품을 만날 수 있는 공식 테마형 매장입니다.</t>
        </is>
      </c>
      <c r="I22" s="50" t="inlineStr">
        <is>
          <t>공식 페이지 미확인</t>
        </is>
      </c>
      <c r="J22" s="50">
        <f>HYPERLINK("https://www.google.com/maps/search/?api=1&amp;query=ONE%20PIECE%20BASE%20SHOP%20%E6%9D%B1%E4%BA%AC%E9%83%BD%E6%96%B0%E5%AE%BF%E5%8C%BA%E6%96%B0%E5%AE%BF3-30-13%20%E6%96%B0%E5%AE%BF%E3%83%9E%E3%83%AB%E3%82%A4%E6%9C%AC%E9%A4%A84F","지도·매장사진 보기")</f>
        <v/>
      </c>
      <c r="K22" s="50">
        <f>HYPERLINK("https://www.google.com/search?tbm=isch&amp;q=ONE%20PIECE%20BASE%20SHOP%20%E6%9D%B1%E4%BA%AC%E9%83%BD%E6%96%B0%E5%AE%BF%E5%8C%BA%E6%96%B0%E5%AE%BF3-30-13%20%E6%96%B0%E5%AE%BF%E3%83%9E%E3%83%AB%E3%82%A4%E6%9C%AC%E9%A4%A84F","이미지 검색 보기")</f>
        <v/>
      </c>
      <c r="L22" s="50" t="inlineStr">
        <is>
          <t>https://www.google.com/maps/search/?api=1&amp;query=ONE%20PIECE%20BASE%20SHOP%20%E6%9D%B1%E4%BA%AC%E9%83%BD%E6%96%B0%E5%AE%BF%E5%8C%BA%E6%96%B0%E5%AE%BF3-30-13%20%E6%96%B0%E5%AE%BF%E3%83%9E%E3%83%AB%E3%82%A4%E6%9C%AC%E9%A4%A84F</t>
        </is>
      </c>
      <c r="M22" s="51" t="inlineStr">
        <is>
          <t>2026-09-11</t>
        </is>
      </c>
      <c r="N22" s="178" t="inlineStr">
        <is>
          <t>@onepiece_base_shop</t>
        </is>
      </c>
      <c r="O22" s="180" t="inlineStr">
        <is>
          <t>https://www.instagram.com/onepiece_base_shop/</t>
        </is>
      </c>
      <c r="P22" s="180" t="inlineStr">
        <is>
          <t>https://scontent-icn2-1.cdninstagram.com/v/t51.82787-19/541677351_17846369196559241_2506064694596702095_n.jpg?stp=dst-jpg_s150x150_tt6&amp;_nc_cat=109&amp;ccb=7-5&amp;_nc_sid=f7ccc5&amp;efg=eyJ2ZW5jb2RlX3RhZyI6InByb2ZpbGVfcGljLnd3dy40MDAuQzMifQ%3D%3D&amp;_nc_ohc=jBLhL6dyVAEQ7kNvwEmGYMX&amp;_nc_oc=AdqsYSs6X4jNaNDy76TN5g9I_L_3lsIZwXQKyKdaFkgMLCwDqlVeHyB6RLNlJITkRHY&amp;_nc_zt=24&amp;_nc_ht=scontent-icn2-1.cdninstagram.com&amp;_nc_gid=khcbTIRWzv_RqZYAsl2eIQ&amp;_nc_ss=7fa02&amp;oh=00_AQJjr8fI8XcZ9owjL7Os2uuCbYrNBcCeI4rpdRyagqKMgg&amp;oe=6AA9EDFD</t>
        </is>
      </c>
      <c r="Q22" s="178" t="inlineStr">
        <is>
          <t>인스타 프로필(단기 만료)</t>
        </is>
      </c>
      <c r="R22" s="178" t="n"/>
      <c r="S22" s="178" t="n"/>
      <c r="T22" s="178" t="n"/>
      <c r="U22" s="179" t="inlineStr">
        <is>
          <t>공식 인증(verified) 계정, 신주쿠 마루이 본관 4F 주소 일치</t>
        </is>
      </c>
    </row>
    <row r="23" ht="52" customHeight="1">
      <c r="A23" s="94" t="inlineStr">
        <is>
          <t>도쿄</t>
        </is>
      </c>
      <c r="B23" s="95" t="inlineStr">
        <is>
          <t>신주쿠·다카다노바바</t>
        </is>
      </c>
      <c r="C23" s="95" t="n">
        <v>2</v>
      </c>
      <c r="D23" s="50" t="inlineStr">
        <is>
          <t>晴れる屋2 高田馬場店 / Hareruya2 Takadanobaba</t>
        </is>
      </c>
      <c r="E23" s="50" t="inlineStr">
        <is>
          <t>03-6821-8608</t>
        </is>
      </c>
      <c r="F23" s="50" t="inlineStr">
        <is>
          <t>東京都新宿区高田馬場3-3-2 MFビル6F</t>
        </is>
      </c>
      <c r="G23" s="50" t="inlineStr">
        <is>
          <t>12:00~21:00 / 연중무휴</t>
        </is>
      </c>
      <c r="H23" s="50" t="inlineStr">
        <is>
          <t>28석 무료 플레이 공간을 갖춘 포켓몬 카드 전문점으로 싱글·밀봉·매입·이벤트를 함께 운영합니다.</t>
        </is>
      </c>
      <c r="I23" s="50">
        <f>HYPERLINK("https://www.hareruya2.com/pages/store_menu-en","공식/매장 페이지")</f>
        <v/>
      </c>
      <c r="J23" s="50">
        <f>HYPERLINK("https://www.google.com/maps/search/?api=1&amp;query=%E6%99%B4%E3%82%8C%E3%82%8B%E5%B1%8B2%20%E9%AB%98%E7%94%B0%E9%A6%AC%E5%A0%B4%E5%BA%97%20/%20Hareruya2%20Takadanobaba%20%E6%9D%B1%E4%BA%AC%E9%83%BD%E6%96%B0%E5%AE%BF%E5%8C%BA%E9%AB%98%E7%94%B0%E9%A6%AC%E5%A0%B43-3-2%20MF%E3%83%93%E3%83%AB6F","지도·매장사진 보기")</f>
        <v/>
      </c>
      <c r="K23" s="50">
        <f>HYPERLINK("https://www.google.com/search?tbm=isch&amp;q=%E6%99%B4%E3%82%8C%E3%82%8B%E5%B1%8B2%20%E9%AB%98%E7%94%B0%E9%A6%AC%E5%A0%B4%E5%BA%97%20/%20Hareruya2%20Takadanobaba%20%E6%9D%B1%E4%BA%AC%E9%83%BD%E6%96%B0%E5%AE%BF%E5%8C%BA%E9%AB%98%E7%94%B0%E9%A6%AC%E5%A0%B43-3-2%20MF%E3%83%93%E3%83%AB6F","이미지 검색 보기")</f>
        <v/>
      </c>
      <c r="L23" s="50" t="inlineStr">
        <is>
          <t>https://www.hareruya2.com/pages/store_menu-en</t>
        </is>
      </c>
      <c r="M23" s="51" t="inlineStr">
        <is>
          <t>2026-09-11</t>
        </is>
      </c>
      <c r="N23" s="178" t="inlineStr">
        <is>
          <t>@hareruya2_pokeca</t>
        </is>
      </c>
      <c r="O23" s="180" t="inlineStr">
        <is>
          <t>https://www.instagram.com/hareruya2_pokeca/</t>
        </is>
      </c>
      <c r="P23" s="180" t="inlineStr">
        <is>
          <t>https://hareruya2-filepool.s3.us-east-1.amazonaws.com/page/store_menu/img_2606_babaTOP.webp</t>
        </is>
      </c>
      <c r="Q23" s="178" t="inlineStr">
        <is>
          <t>공식 사이트</t>
        </is>
      </c>
      <c r="R23" s="180" t="inlineStr">
        <is>
          <t>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</t>
        </is>
      </c>
      <c r="S23" s="178" t="inlineStr">
        <is>
          <t>@hareruya2pokeca</t>
        </is>
      </c>
      <c r="T23" s="178" t="n"/>
      <c r="U23" s="179" t="inlineStr">
        <is>
          <t>브랜드 공식 계정 晴れる屋2 공식 브랜드 계정</t>
        </is>
      </c>
    </row>
    <row r="24" ht="52" customHeight="1">
      <c r="A24" s="94" t="inlineStr">
        <is>
          <t>도쿄</t>
        </is>
      </c>
      <c r="B24" s="95" t="inlineStr">
        <is>
          <t>나카노</t>
        </is>
      </c>
      <c r="C24" s="95" t="n">
        <v>1</v>
      </c>
      <c r="D24" s="50" t="inlineStr">
        <is>
          <t>バトンストア中野ブロードウェイ店 / Baton Store</t>
        </is>
      </c>
      <c r="E24" s="50" t="inlineStr">
        <is>
          <t>03-5942-6846</t>
        </is>
      </c>
      <c r="F24" s="50" t="inlineStr">
        <is>
          <t>東京都中野区中野5-52-15 中野ブロードウェイ2F</t>
        </is>
      </c>
      <c r="G24" s="50" t="inlineStr">
        <is>
          <t>11:00~20:00 (공개 지도 기준)</t>
        </is>
      </c>
      <c r="H24" s="50" t="inlineStr">
        <is>
          <t>나카노 브로드웨이 내에서 카드와 하비 상품을 함께 취급하는 매장으로 수집형 상품 쇼핑에 적합합니다.</t>
        </is>
      </c>
      <c r="I24" s="50" t="inlineStr">
        <is>
          <t>공식 페이지 미확인</t>
        </is>
      </c>
      <c r="J24" s="50">
        <f>HYPERLINK("https://www.google.com/maps/search/?api=1&amp;query=%E3%83%90%E3%83%88%E3%83%B3%E3%82%B9%E3%83%88%E3%82%A2%E4%B8%AD%E9%87%8E%E3%83%96%E3%83%AD%E3%83%BC%E3%83%89%E3%82%A6%E3%82%A7%E3%82%A4%E5%BA%97%20/%20Baton%20Store%20%E6%9D%B1%E4%BA%AC%E9%83%BD%E4%B8%AD%E9%87%8E%E5%8C%BA%E4%B8%AD%E9%87%8E5-52-15%20%E4%B8%AD%E9%87%8E%E3%83%96%E3%83%AD%E3%83%BC%E3%83%89%E3%82%A6%E3%82%A7%E3%82%A42F","지도·매장사진 보기")</f>
        <v/>
      </c>
      <c r="K24" s="50">
        <f>HYPERLINK("https://www.google.com/search?tbm=isch&amp;q=%E3%83%90%E3%83%88%E3%83%B3%E3%82%B9%E3%83%88%E3%82%A2%E4%B8%AD%E9%87%8E%E3%83%96%E3%83%AD%E3%83%BC%E3%83%89%E3%82%A6%E3%82%A7%E3%82%A4%E5%BA%97%20/%20Baton%20Store%20%E6%9D%B1%E4%BA%AC%E9%83%BD%E4%B8%AD%E9%87%8E%E5%8C%BA%E4%B8%AD%E9%87%8E5-52-15%20%E4%B8%AD%E9%87%8E%E3%83%96%E3%83%AD%E3%83%BC%E3%83%89%E3%82%A6%E3%82%A7%E3%82%A42F","이미지 검색 보기")</f>
        <v/>
      </c>
      <c r="L24" s="50" t="inlineStr">
        <is>
          <t>https://www.google.com/maps/search/?api=1&amp;query=%E3%83%90%E3%83%88%E3%83%B3%E3%82%B9%E3%83%88%E3%82%A2%E4%B8%AD%E9%87%8E%E3%83%96%E3%83%AD%E3%83%BC%E3%83%89%E3%82%A6%E3%82%A7%E3%82%A4%E5%BA%97%20/%20Baton%20Store%20%E6%9D%B1%E4%BA%AC%E9%83%BD%E4%B8%AD%E9%87%8E%E5%8C%BA%E4%B8%AD%E9%87%8E5-52-15%20%E4%B8%AD%E9%87%8E%E3%83%96%E3%83%AD%E3%83%BC%E3%83%89%E3%82%A6%E3%82%A7%E3%82%A42F</t>
        </is>
      </c>
      <c r="M24" s="51" t="inlineStr">
        <is>
          <t>2026-09-11</t>
        </is>
      </c>
      <c r="N24" s="178" t="inlineStr">
        <is>
          <t>@batonstorenakanobw</t>
        </is>
      </c>
      <c r="O24" s="180" t="inlineStr">
        <is>
          <t>https://www.instagram.com/batonstorenakanobw/</t>
        </is>
      </c>
      <c r="P24" s="180" t="inlineStr">
        <is>
          <t>https://scontent-icn2-1.cdninstagram.com/v/t51.2885-19/365457357_3454375531452775_4647388297390732732_n.jpg?stp=dst-jpg_s150x150_tt6&amp;_nc_cat=102&amp;ccb=7-5&amp;_nc_sid=f7ccc5&amp;efg=eyJ2ZW5jb2RlX3RhZyI6InByb2ZpbGVfcGljLnd3dy4zMjAuQzMifQ%3D%3D&amp;_nc_ohc=6be2W7EYbkYQ7kNvwG45uiS&amp;_nc_oc=AdqKYx8tBDoAAk1yg8x_4aY6WagSLRjtb_GIQyQ0uPKQhwjmsKwca5uql-HzfA_r6Bw&amp;_nc_zt=24&amp;_nc_ht=scontent-icn2-1.cdninstagram.com&amp;_nc_ss=7fa02&amp;oh=00_AQJNUxaY0q7SvAA-h_ORdUbLQRUy9u28WD9EtdYcyQ6pvA&amp;oe=6AAA1B59</t>
        </is>
      </c>
      <c r="Q24" s="178" t="inlineStr">
        <is>
          <t>인스타 프로필(단기 만료)</t>
        </is>
      </c>
      <c r="R24" s="178" t="n"/>
      <c r="S24" s="178" t="n"/>
      <c r="T24" s="178" t="n"/>
      <c r="U24" s="179" t="inlineStr">
        <is>
          <t>표시명이 매장명과 정확히 일치</t>
        </is>
      </c>
    </row>
    <row r="25" ht="52" customHeight="1">
      <c r="A25" s="128" t="inlineStr">
        <is>
          <t>오사카</t>
        </is>
      </c>
      <c r="B25" s="129" t="inlineStr">
        <is>
          <t>니폰바시·난바</t>
        </is>
      </c>
      <c r="C25" s="129" t="n">
        <v>1</v>
      </c>
      <c r="D25" s="50" t="inlineStr">
        <is>
          <t>K1 Trading Card Shop</t>
        </is>
      </c>
      <c r="E25" s="50" t="inlineStr">
        <is>
          <t>070-8485-4669</t>
        </is>
      </c>
      <c r="F25" s="50" t="inlineStr">
        <is>
          <t>大阪市浪速区日本橋4-7-28 日本橋電気ビル101</t>
        </is>
      </c>
      <c r="G25" s="50" t="inlineStr">
        <is>
          <t>12:00~20:00 (공개 지도 기준)</t>
        </is>
      </c>
      <c r="H25" s="50" t="inlineStr">
        <is>
          <t>니폰바시의 소형 트레이딩 카드 전문점으로 포켓몬 등 인기 TCG 상품을 취급합니다.</t>
        </is>
      </c>
      <c r="I25" s="50" t="inlineStr">
        <is>
          <t>공식 페이지 미확인</t>
        </is>
      </c>
      <c r="J25" s="50">
        <f>HYPERLINK("https://www.google.com/maps/search/?api=1&amp;query=K1%20Trading%20Card%20Shop%20%E5%A4%A7%E9%98%AA%E5%B8%82%E6%B5%AA%E9%80%9F%E5%8C%BA%E6%97%A5%E6%9C%AC%E6%A9%8B4-7-28%20%E6%97%A5%E6%9C%AC%E6%A9%8B%E9%9B%BB%E6%B0%97%E3%83%93%E3%83%AB101","지도·매장사진 보기")</f>
        <v/>
      </c>
      <c r="K25" s="50">
        <f>HYPERLINK("https://www.google.com/search?tbm=isch&amp;q=K1%20Trading%20Card%20Shop%20%E5%A4%A7%E9%98%AA%E5%B8%82%E6%B5%AA%E9%80%9F%E5%8C%BA%E6%97%A5%E6%9C%AC%E6%A9%8B4-7-28%20%E6%97%A5%E6%9C%AC%E6%A9%8B%E9%9B%BB%E6%B0%97%E3%83%93%E3%83%AB101","이미지 검색 보기")</f>
        <v/>
      </c>
      <c r="L25" s="50" t="inlineStr">
        <is>
          <t>https://www.google.com/maps/search/?api=1&amp;query=K1%20Trading%20Card%20Shop%20%E5%A4%A7%E9%98%AA%E5%B8%82%E6%B5%AA%E9%80%9F%E5%8C%BA%E6%97%A5%E6%9C%AC%E6%A9%8B4-7-28%20%E6%97%A5%E6%9C%AC%E6%A9%8B%E9%9B%BB%E6%B0%97%E3%83%93%E3%83%AB101</t>
        </is>
      </c>
      <c r="M25" s="51" t="inlineStr">
        <is>
          <t>2026-09-11</t>
        </is>
      </c>
      <c r="N25" s="178" t="inlineStr">
        <is>
          <t>없음</t>
        </is>
      </c>
      <c r="O25" s="178" t="n"/>
      <c r="P25" s="178" t="n"/>
      <c r="Q25" s="178" t="n"/>
      <c r="R25" s="178" t="n"/>
      <c r="S25" s="178" t="n"/>
      <c r="T25" s="178" t="n"/>
      <c r="U25" s="179" t="inlineStr">
        <is>
          <t>공식 사이트/검색 모두 미확인</t>
        </is>
      </c>
    </row>
    <row r="26" ht="52" customHeight="1">
      <c r="A26" s="128" t="inlineStr">
        <is>
          <t>오사카</t>
        </is>
      </c>
      <c r="B26" s="129" t="inlineStr">
        <is>
          <t>니폰바시·난바</t>
        </is>
      </c>
      <c r="C26" s="129" t="n">
        <v>2</v>
      </c>
      <c r="D26" s="50" t="inlineStr">
        <is>
          <t>Pokemon Cards Nihonbashi AMTAF</t>
        </is>
      </c>
      <c r="E26" s="50" t="inlineStr">
        <is>
          <t>06-4393-8668</t>
        </is>
      </c>
      <c r="F26" s="50" t="inlineStr">
        <is>
          <t>大阪市浪速区日本橋4-15-1</t>
        </is>
      </c>
      <c r="G26" s="50" t="inlineStr">
        <is>
          <t>12:00~21:00 (공개 지도 기준)</t>
        </is>
      </c>
      <c r="H26" s="50" t="inlineStr">
        <is>
          <t>니폰바시에서 포켓몬 카드 중심의 싱글과 상품을 취급하는 전문 카드숍입니다.</t>
        </is>
      </c>
      <c r="I26" s="50" t="inlineStr">
        <is>
          <t>공식 페이지 미확인</t>
        </is>
      </c>
      <c r="J26" s="50">
        <f>HYPERLINK("https://www.google.com/maps/search/?api=1&amp;query=Pokemon%20Cards%20Nihonbashi%20AMTAF%20%E5%A4%A7%E9%98%AA%E5%B8%82%E6%B5%AA%E9%80%9F%E5%8C%BA%E6%97%A5%E6%9C%AC%E6%A9%8B4-15-1","지도·매장사진 보기")</f>
        <v/>
      </c>
      <c r="K26" s="50">
        <f>HYPERLINK("https://www.google.com/search?tbm=isch&amp;q=Pokemon%20Cards%20Nihonbashi%20AMTAF%20%E5%A4%A7%E9%98%AA%E5%B8%82%E6%B5%AA%E9%80%9F%E5%8C%BA%E6%97%A5%E6%9C%AC%E6%A9%8B4-15-1","이미지 검색 보기")</f>
        <v/>
      </c>
      <c r="L26" s="50" t="inlineStr">
        <is>
          <t>https://www.google.com/maps/search/?api=1&amp;query=Pokemon%20Cards%20Nihonbashi%20AMTAF%20%E5%A4%A7%E9%98%AA%E5%B8%82%E6%B5%AA%E9%80%9F%E5%8C%BA%E6%97%A5%E6%9C%AC%E6%A9%8B4-15-1</t>
        </is>
      </c>
      <c r="M26" s="51" t="inlineStr">
        <is>
          <t>2026-09-11</t>
        </is>
      </c>
      <c r="N26" s="178" t="inlineStr">
        <is>
          <t>@amtaf0306</t>
        </is>
      </c>
      <c r="O26" s="180" t="inlineStr">
        <is>
          <t>https://www.instagram.com/amtaf0306/</t>
        </is>
      </c>
      <c r="P26" s="180" t="inlineStr">
        <is>
          <t>https://scontent-icn2-1.cdninstagram.com/v/t51.2885-19/460926357_887618919945947_9062114617442013563_n.jpg?stp=dst-jpg_s150x150_tt6&amp;_nc_cat=101&amp;ccb=7-5&amp;_nc_sid=f7ccc5&amp;efg=eyJ2ZW5jb2RlX3RhZyI6InByb2ZpbGVfcGljLnd3dy40MDAuQzMifQ%3D%3D&amp;_nc_ohc=3pNWGwGGLMIQ7kNvwFRd3fM&amp;_nc_oc=Ado5zfFbYU0ms4azDJ2EDmRHvMLPuoT3epvPv0qmbkXeZw4xO9I54EHzLEG9RwXIRv4&amp;_nc_zt=24&amp;_nc_ht=scontent-icn2-1.cdninstagram.com&amp;_nc_ss=7fa02&amp;oh=00_AQJNSbPA5JMwDcRS9VpEGzeM7duO68yx1fT5S6BV6xYhSg&amp;oe=6AA9EF06</t>
        </is>
      </c>
      <c r="Q26" s="178" t="inlineStr">
        <is>
          <t>인스타 프로필(단기 만료)</t>
        </is>
      </c>
      <c r="R26" s="178" t="n"/>
      <c r="S26" s="178" t="n"/>
      <c r="T26" s="178" t="n"/>
      <c r="U26" s="179" t="inlineStr">
        <is>
          <t>주소(日本橋4-15-1)까지 정확히 일치</t>
        </is>
      </c>
    </row>
    <row r="27" ht="52" customHeight="1">
      <c r="A27" s="128" t="inlineStr">
        <is>
          <t>오사카</t>
        </is>
      </c>
      <c r="B27" s="129" t="inlineStr">
        <is>
          <t>니폰바시·난바</t>
        </is>
      </c>
      <c r="C27" s="129" t="n">
        <v>3</v>
      </c>
      <c r="D27" s="50" t="inlineStr">
        <is>
          <t>カードラボ 大阪日本橋店 / Card Labo Osaka Nipponbashi</t>
        </is>
      </c>
      <c r="E27" s="50" t="inlineStr">
        <is>
          <t>06-6567-9494</t>
        </is>
      </c>
      <c r="F27" s="50" t="inlineStr">
        <is>
          <t>大阪府大阪市浪速区日本橋西1-1-3 池田ビル2号館5F</t>
        </is>
      </c>
      <c r="G27" s="50" t="inlineStr">
        <is>
          <t>평일 11:00~20:00 / 주말·공휴일 10:00~20:00</t>
        </is>
      </c>
      <c r="H27" s="50" t="inlineStr">
        <is>
          <t>유희왕·포켓몬·바이스 등 다양한 TCG의 판매·매입과 32석 듀얼 스페이스를 운영하는 멀티 카드샵입니다.</t>
        </is>
      </c>
      <c r="I27" s="50">
        <f>HYPERLINK("https://www.c-labo.jp/shop/nipponbashi/","공식/매장 페이지")</f>
        <v/>
      </c>
      <c r="J27" s="50">
        <f>HYPERLINK("https://www.google.com/maps/search/?api=1&amp;query=%E3%82%AB%E3%83%BC%E3%83%89%E3%83%A9%E3%83%9C%20%E5%A4%A7%E9%98%AA%E6%97%A5%E6%9C%AC%E6%A9%8B%E5%BA%97%20/%20Card%20Labo%20Osaka%20Nipponbashi%20%E5%A4%A7%E9%98%AA%E5%BA%9C%E5%A4%A7%E9%98%AA%E5%B8%82%E6%B5%AA%E9%80%9F%E5%8C%BA%E6%97%A5%E6%9C%AC%E6%A9%8B%E8%A5%BF1-1-3%20%E6%B1%A0%E7%94%B0%E3%83%93%E3%83%AB2%E5%8F%B7%E9%A4%A85F","지도·매장사진 보기")</f>
        <v/>
      </c>
      <c r="K27" s="50">
        <f>HYPERLINK("https://www.google.com/search?tbm=isch&amp;q=%E3%82%AB%E3%83%BC%E3%83%89%E3%83%A9%E3%83%9C%20%E5%A4%A7%E9%98%AA%E6%97%A5%E6%9C%AC%E6%A9%8B%E5%BA%97%20/%20Card%20Labo%20Osaka%20Nipponbashi%20%E5%A4%A7%E9%98%AA%E5%BA%9C%E5%A4%A7%E9%98%AA%E5%B8%82%E6%B5%AA%E9%80%9F%E5%8C%BA%E6%97%A5%E6%9C%AC%E6%A9%8B%E8%A5%BF1-1-3%20%E6%B1%A0%E7%94%B0%E3%83%93%E3%83%AB2%E5%8F%B7%E9%A4%A85F","이미지 검색 보기")</f>
        <v/>
      </c>
      <c r="L27" s="50" t="inlineStr">
        <is>
          <t>https://www.c-labo.jp/shop/nipponbashi/</t>
        </is>
      </c>
      <c r="M27" s="51" t="inlineStr">
        <is>
          <t>2026-09-11</t>
        </is>
      </c>
      <c r="N27" s="178" t="inlineStr">
        <is>
          <t>없음</t>
        </is>
      </c>
      <c r="O27" s="178" t="n"/>
      <c r="P27" s="180" t="inlineStr">
        <is>
          <t>https://www.c-labo.jp/wordpress/wp-content/uploads/2017/02/49208f92b5fd13a14b32f0369e0210fc.jpg</t>
        </is>
      </c>
      <c r="Q27" s="178" t="inlineStr">
        <is>
          <t>공식 사이트</t>
        </is>
      </c>
      <c r="R27" s="178" t="n"/>
      <c r="S27" s="178" t="inlineStr">
        <is>
          <t>@nipponbashi_lab</t>
        </is>
      </c>
      <c r="T27" s="178" t="n"/>
      <c r="U27" s="179" t="n"/>
    </row>
    <row r="28" ht="52" customHeight="1">
      <c r="A28" s="128" t="inlineStr">
        <is>
          <t>오사카</t>
        </is>
      </c>
      <c r="B28" s="129" t="inlineStr">
        <is>
          <t>니폰바시·난바</t>
        </is>
      </c>
      <c r="C28" s="129" t="n">
        <v>4</v>
      </c>
      <c r="D28" s="50" t="inlineStr">
        <is>
          <t>ドラゴンスターオタロード中央店</t>
        </is>
      </c>
      <c r="E28" s="50" t="str"/>
      <c r="F28" s="50" t="inlineStr">
        <is>
          <t>大阪府大阪市浪速区難波中2-5-10</t>
        </is>
      </c>
      <c r="G28" s="50" t="inlineStr">
        <is>
          <t>평일 12:00~20:00 / 주말 10:00~20:00</t>
        </is>
      </c>
      <c r="H28" s="50" t="inlineStr">
        <is>
          <t>오타로드 중심에 위치한 멀티 TCG 전문점으로 카드 쇼핑 동선에 넣기 좋은 지점입니다.</t>
        </is>
      </c>
      <c r="I28" s="50">
        <f>HYPERLINK("https://dorasuta.jp/shop","공식/매장 페이지")</f>
        <v/>
      </c>
      <c r="J28" s="50">
        <f>HYPERLINK("https://www.google.com/maps/search/?api=1&amp;query=%E3%83%89%E3%83%A9%E3%82%B4%E3%83%B3%E3%82%B9%E3%82%BF%E3%83%BC%E3%82%AA%E3%82%BF%E3%83%AD%E3%83%BC%E3%83%89%E4%B8%AD%E5%A4%AE%E5%BA%97%20%E5%A4%A7%E9%98%AA%E5%BA%9C%E5%A4%A7%E9%98%AA%E5%B8%82%E6%B5%AA%E9%80%9F%E5%8C%BA%E9%9B%A3%E6%B3%A2%E4%B8%AD2-5-10","지도·매장사진 보기")</f>
        <v/>
      </c>
      <c r="K28" s="50">
        <f>HYPERLINK("https://www.google.com/search?tbm=isch&amp;q=%E3%83%89%E3%83%A9%E3%82%B4%E3%83%B3%E3%82%B9%E3%82%BF%E3%83%BC%E3%82%AA%E3%82%BF%E3%83%AD%E3%83%BC%E3%83%89%E4%B8%AD%E5%A4%AE%E5%BA%97%20%E5%A4%A7%E9%98%AA%E5%BA%9C%E5%A4%A7%E9%98%AA%E5%B8%82%E6%B5%AA%E9%80%9F%E5%8C%BA%E9%9B%A3%E6%B3%A2%E4%B8%AD2-5-10","이미지 검색 보기")</f>
        <v/>
      </c>
      <c r="L28" s="50" t="inlineStr">
        <is>
          <t>https://dorasuta.jp/shop</t>
        </is>
      </c>
      <c r="M28" s="51" t="inlineStr">
        <is>
          <t>2026-09-11</t>
        </is>
      </c>
      <c r="N28" s="178" t="inlineStr">
        <is>
          <t>@dorasutagram</t>
        </is>
      </c>
      <c r="O28" s="180" t="inlineStr">
        <is>
          <t>https://www.instagram.com/dorasutagram/</t>
        </is>
      </c>
      <c r="P28" s="180" t="inlineStr">
        <is>
          <t>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</t>
        </is>
      </c>
      <c r="Q28" s="178" t="inlineStr">
        <is>
          <t>인스타 프로필(단기 만료)</t>
        </is>
      </c>
      <c r="R28" s="178" t="n"/>
      <c r="S28" s="178" t="n"/>
      <c r="T28" s="178" t="n"/>
      <c r="U28" s="179" t="inlineStr">
        <is>
          <t>브랜드 공식 계정 ドラゴンスター 공식 브랜드 계정</t>
        </is>
      </c>
    </row>
    <row r="29" ht="52" customHeight="1">
      <c r="A29" s="128" t="inlineStr">
        <is>
          <t>오사카</t>
        </is>
      </c>
      <c r="B29" s="129" t="inlineStr">
        <is>
          <t>니폰바시·난바</t>
        </is>
      </c>
      <c r="C29" s="129" t="n">
        <v>5</v>
      </c>
      <c r="D29" s="50" t="inlineStr">
        <is>
          <t>ドラゴンスター日本橋2号店 / Dragon Star Nipponbashi 2</t>
        </is>
      </c>
      <c r="E29" s="50" t="inlineStr">
        <is>
          <t>06-6630-7115</t>
        </is>
      </c>
      <c r="F29" s="50" t="inlineStr">
        <is>
          <t>大阪市浪速区難波中2-1-17 コスモビル6F</t>
        </is>
      </c>
      <c r="G29" s="50" t="inlineStr">
        <is>
          <t>평일 12:00~21:00 / 토 10:00~21:00 / 일·공휴일 10:00~20:00</t>
        </is>
      </c>
      <c r="H29" s="50" t="inlineStr">
        <is>
          <t>난바·니폰바시에서 다양한 TCG와 플레이 수요를 함께 대응하는 드래곤스타 지점입니다.</t>
        </is>
      </c>
      <c r="I29" s="50">
        <f>HYPERLINK("https://dorasuta.jp/shop","공식/매장 페이지")</f>
        <v/>
      </c>
      <c r="J29" s="50">
        <f>HYPERLINK("https://www.google.com/maps/search/?api=1&amp;query=%E3%83%89%E3%83%A9%E3%82%B4%E3%83%B3%E3%82%B9%E3%82%BF%E3%83%BC%E6%97%A5%E6%9C%AC%E6%A9%8B2%E5%8F%B7%E5%BA%97%20/%20Dragon%20Star%20Nipponbashi%202%20%E5%A4%A7%E9%98%AA%E5%B8%82%E6%B5%AA%E9%80%9F%E5%8C%BA%E9%9B%A3%E6%B3%A2%E4%B8%AD2-1-17%20%E3%82%B3%E3%82%B9%E3%83%A2%E3%83%93%E3%83%AB6F","지도·매장사진 보기")</f>
        <v/>
      </c>
      <c r="K29" s="50">
        <f>HYPERLINK("https://www.google.com/search?tbm=isch&amp;q=%E3%83%89%E3%83%A9%E3%82%B4%E3%83%B3%E3%82%B9%E3%82%BF%E3%83%BC%E6%97%A5%E6%9C%AC%E6%A9%8B2%E5%8F%B7%E5%BA%97%20/%20Dragon%20Star%20Nipponbashi%202%20%E5%A4%A7%E9%98%AA%E5%B8%82%E6%B5%AA%E9%80%9F%E5%8C%BA%E9%9B%A3%E6%B3%A2%E4%B8%AD2-1-17%20%E3%82%B3%E3%82%B9%E3%83%A2%E3%83%93%E3%83%AB6F","이미지 검색 보기")</f>
        <v/>
      </c>
      <c r="L29" s="50" t="inlineStr">
        <is>
          <t>https://dorasuta.jp/shop</t>
        </is>
      </c>
      <c r="M29" s="51" t="inlineStr">
        <is>
          <t>2026-09-11</t>
        </is>
      </c>
      <c r="N29" s="178" t="inlineStr">
        <is>
          <t>@dorasutagram</t>
        </is>
      </c>
      <c r="O29" s="180" t="inlineStr">
        <is>
          <t>https://www.instagram.com/dorasutagram/</t>
        </is>
      </c>
      <c r="P29" s="180" t="inlineStr">
        <is>
          <t>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</t>
        </is>
      </c>
      <c r="Q29" s="178" t="inlineStr">
        <is>
          <t>인스타 프로필(단기 만료)</t>
        </is>
      </c>
      <c r="R29" s="178" t="n"/>
      <c r="S29" s="178" t="n"/>
      <c r="T29" s="178" t="n"/>
      <c r="U29" s="179" t="inlineStr">
        <is>
          <t>브랜드 공식 계정 ドラゴンスター 공식 브랜드 계정</t>
        </is>
      </c>
    </row>
    <row r="30" ht="52" customHeight="1">
      <c r="A30" s="128" t="inlineStr">
        <is>
          <t>오사카</t>
        </is>
      </c>
      <c r="B30" s="129" t="inlineStr">
        <is>
          <t>니폰바시·난바</t>
        </is>
      </c>
      <c r="C30" s="129" t="n">
        <v>6</v>
      </c>
      <c r="D30" s="50" t="inlineStr">
        <is>
          <t>ドラゴンスター日本橋3号店 / Dragon Star Nipponbashi 3</t>
        </is>
      </c>
      <c r="E30" s="50" t="str"/>
      <c r="F30" s="50" t="inlineStr">
        <is>
          <t>大阪府大阪市浪速区敷津東2-1-5</t>
        </is>
      </c>
      <c r="G30" s="50" t="inlineStr">
        <is>
          <t>평일 14:00~21:00 / 토 10:00~21:00 / 일·공휴일 10:00~20:00</t>
        </is>
      </c>
      <c r="H30" s="50" t="inlineStr">
        <is>
          <t>니폰바시권 드래곤스타 지점으로 인기 TCG 신상품·싱글·매입 수요가 많은 매장입니다.</t>
        </is>
      </c>
      <c r="I30" s="50">
        <f>HYPERLINK("https://dorasuta.jp/shop","공식/매장 페이지")</f>
        <v/>
      </c>
      <c r="J30" s="50">
        <f>HYPERLINK("https://www.google.com/maps/search/?api=1&amp;query=%E3%83%89%E3%83%A9%E3%82%B4%E3%83%B3%E3%82%B9%E3%82%BF%E3%83%BC%E6%97%A5%E6%9C%AC%E6%A9%8B3%E5%8F%B7%E5%BA%97%20/%20Dragon%20Star%20Nipponbashi%203%20%E5%A4%A7%E9%98%AA%E5%BA%9C%E5%A4%A7%E9%98%AA%E5%B8%82%E6%B5%AA%E9%80%9F%E5%8C%BA%E6%95%B7%E6%B4%A5%E6%9D%B12-1-5","지도·매장사진 보기")</f>
        <v/>
      </c>
      <c r="K30" s="50">
        <f>HYPERLINK("https://www.google.com/search?tbm=isch&amp;q=%E3%83%89%E3%83%A9%E3%82%B4%E3%83%B3%E3%82%B9%E3%82%BF%E3%83%BC%E6%97%A5%E6%9C%AC%E6%A9%8B3%E5%8F%B7%E5%BA%97%20/%20Dragon%20Star%20Nipponbashi%203%20%E5%A4%A7%E9%98%AA%E5%BA%9C%E5%A4%A7%E9%98%AA%E5%B8%82%E6%B5%AA%E9%80%9F%E5%8C%BA%E6%95%B7%E6%B4%A5%E6%9D%B12-1-5","이미지 검색 보기")</f>
        <v/>
      </c>
      <c r="L30" s="50" t="inlineStr">
        <is>
          <t>https://dorasuta.jp/shop</t>
        </is>
      </c>
      <c r="M30" s="51" t="inlineStr">
        <is>
          <t>2026-09-11</t>
        </is>
      </c>
      <c r="N30" s="178" t="inlineStr">
        <is>
          <t>@dorasutagram</t>
        </is>
      </c>
      <c r="O30" s="180" t="inlineStr">
        <is>
          <t>https://www.instagram.com/dorasutagram/</t>
        </is>
      </c>
      <c r="P30" s="180" t="inlineStr">
        <is>
          <t>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</t>
        </is>
      </c>
      <c r="Q30" s="178" t="inlineStr">
        <is>
          <t>인스타 프로필(단기 만료)</t>
        </is>
      </c>
      <c r="R30" s="178" t="n"/>
      <c r="S30" s="178" t="n"/>
      <c r="T30" s="178" t="n"/>
      <c r="U30" s="179" t="inlineStr">
        <is>
          <t>브랜드 공식 계정 ドラゴンスター 공식 브랜드 계정</t>
        </is>
      </c>
    </row>
    <row r="31" ht="52" customHeight="1">
      <c r="A31" s="128" t="inlineStr">
        <is>
          <t>오사카</t>
        </is>
      </c>
      <c r="B31" s="129" t="inlineStr">
        <is>
          <t>니폰바시·난바</t>
        </is>
      </c>
      <c r="C31" s="129" t="n">
        <v>7</v>
      </c>
      <c r="D31" s="50" t="inlineStr">
        <is>
          <t>ドラゴンスター日本橋本店 / Dragon Star Nipponbashi</t>
        </is>
      </c>
      <c r="E31" s="50" t="inlineStr">
        <is>
          <t>06-6632-3131</t>
        </is>
      </c>
      <c r="F31" s="50" t="inlineStr">
        <is>
          <t>大阪府大阪市浪速区難波中2-5-12</t>
        </is>
      </c>
      <c r="G31" s="50" t="inlineStr">
        <is>
          <t>평일 12:00~20:00 / 주말·공휴일 10:30~20:00</t>
        </is>
      </c>
      <c r="H31" s="50" t="inlineStr">
        <is>
          <t>니폰바시 오타로드권의 대표 멀티 TCG 매장으로 다양한 카드게임 싱글과 상품을 취급합니다.</t>
        </is>
      </c>
      <c r="I31" s="50">
        <f>HYPERLINK("https://dorasuta.jp/shop/detail?scd=4","공식/매장 페이지")</f>
        <v/>
      </c>
      <c r="J31" s="50">
        <f>HYPERLINK("https://www.google.com/maps/search/?api=1&amp;query=%E3%83%89%E3%83%A9%E3%82%B4%E3%83%B3%E3%82%B9%E3%82%BF%E3%83%BC%E6%97%A5%E6%9C%AC%E6%A9%8B%E6%9C%AC%E5%BA%97%20/%20Dragon%20Star%20Nipponbashi%20%E5%A4%A7%E9%98%AA%E5%BA%9C%E5%A4%A7%E9%98%AA%E5%B8%82%E6%B5%AA%E9%80%9F%E5%8C%BA%E9%9B%A3%E6%B3%A2%E4%B8%AD2-5-12","지도·매장사진 보기")</f>
        <v/>
      </c>
      <c r="K31" s="50">
        <f>HYPERLINK("https://www.google.com/search?tbm=isch&amp;q=%E3%83%89%E3%83%A9%E3%82%B4%E3%83%B3%E3%82%B9%E3%82%BF%E3%83%BC%E6%97%A5%E6%9C%AC%E6%A9%8B%E6%9C%AC%E5%BA%97%20/%20Dragon%20Star%20Nipponbashi%20%E5%A4%A7%E9%98%AA%E5%BA%9C%E5%A4%A7%E9%98%AA%E5%B8%82%E6%B5%AA%E9%80%9F%E5%8C%BA%E9%9B%A3%E6%B3%A2%E4%B8%AD2-5-12","이미지 검색 보기")</f>
        <v/>
      </c>
      <c r="L31" s="50" t="inlineStr">
        <is>
          <t>https://dorasuta.jp/shop/detail?scd=4</t>
        </is>
      </c>
      <c r="M31" s="51" t="inlineStr">
        <is>
          <t>2026-09-11</t>
        </is>
      </c>
      <c r="N31" s="178" t="inlineStr">
        <is>
          <t>@dorasutagram</t>
        </is>
      </c>
      <c r="O31" s="180" t="inlineStr">
        <is>
          <t>https://www.instagram.com/dorasutagram/</t>
        </is>
      </c>
      <c r="P31" s="180" t="inlineStr">
        <is>
          <t>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</t>
        </is>
      </c>
      <c r="Q31" s="178" t="inlineStr">
        <is>
          <t>인스타 프로필(단기 만료)</t>
        </is>
      </c>
      <c r="R31" s="178" t="n"/>
      <c r="S31" s="178" t="n"/>
      <c r="T31" s="178" t="n"/>
      <c r="U31" s="179" t="inlineStr">
        <is>
          <t>브랜드 공식 계정 ドラゴンスター 브랜드 공식 계정(전 지점 공용)</t>
        </is>
      </c>
    </row>
    <row r="32" ht="52" customHeight="1">
      <c r="A32" s="128" t="inlineStr">
        <is>
          <t>오사카</t>
        </is>
      </c>
      <c r="B32" s="129" t="inlineStr">
        <is>
          <t>니폰바시·난바</t>
        </is>
      </c>
      <c r="C32" s="129" t="n">
        <v>8</v>
      </c>
      <c r="D32" s="50" t="inlineStr">
        <is>
          <t>晴れる屋2 なんば店 / Hareruya2 Namba</t>
        </is>
      </c>
      <c r="E32" s="50" t="inlineStr">
        <is>
          <t>06-6568-9988</t>
        </is>
      </c>
      <c r="F32" s="50" t="inlineStr">
        <is>
          <t>大阪市中央区難波千日前7-10 COCONAMBA 5F</t>
        </is>
      </c>
      <c r="G32" s="50" t="inlineStr">
        <is>
          <t>평일 12:00~21:00 / 주말·공휴일 10:00~21:00 / 연중무휴</t>
        </is>
      </c>
      <c r="H32" s="50" t="inlineStr">
        <is>
          <t>80석 플레이 공간과 빈티지부터 최신 카드까지 갖춘 포켓몬 카드 전문 대형 매장입니다.</t>
        </is>
      </c>
      <c r="I32" s="50">
        <f>HYPERLINK("https://www.hareruya2.com/pages/store_namba","공식/매장 페이지")</f>
        <v/>
      </c>
      <c r="J32" s="50">
        <f>HYPERLINK("https://www.google.com/maps/search/?api=1&amp;query=%E6%99%B4%E3%82%8C%E3%82%8B%E5%B1%8B2%20%E3%81%AA%E3%82%93%E3%81%B0%E5%BA%97%20/%20Hareruya2%20Namba%20%E5%A4%A7%E9%98%AA%E5%B8%82%E4%B8%AD%E5%A4%AE%E5%8C%BA%E9%9B%A3%E6%B3%A2%E5%8D%83%E6%97%A5%E5%89%8D7-10%20COCONAMBA%205F","지도·매장사진 보기")</f>
        <v/>
      </c>
      <c r="K32" s="50">
        <f>HYPERLINK("https://www.google.com/search?tbm=isch&amp;q=%E6%99%B4%E3%82%8C%E3%82%8B%E5%B1%8B2%20%E3%81%AA%E3%82%93%E3%81%B0%E5%BA%97%20/%20Hareruya2%20Namba%20%E5%A4%A7%E9%98%AA%E5%B8%82%E4%B8%AD%E5%A4%AE%E5%8C%BA%E9%9B%A3%E6%B3%A2%E5%8D%83%E6%97%A5%E5%89%8D7-10%20COCONAMBA%205F","이미지 검색 보기")</f>
        <v/>
      </c>
      <c r="L32" s="50" t="inlineStr">
        <is>
          <t>https://www.hareruya2.com/pages/store_namba</t>
        </is>
      </c>
      <c r="M32" s="51" t="inlineStr">
        <is>
          <t>2026-09-11</t>
        </is>
      </c>
      <c r="N32" s="178" t="inlineStr">
        <is>
          <t>@hareruya2_pokeca</t>
        </is>
      </c>
      <c r="O32" s="180" t="inlineStr">
        <is>
          <t>https://www.instagram.com/hareruya2_pokeca/</t>
        </is>
      </c>
      <c r="P32" s="180" t="inlineStr">
        <is>
          <t>https://hareruya2-filepool.s3.amazonaws.com/page/store_namba/img_2408_Hare2Nanba.webp</t>
        </is>
      </c>
      <c r="Q32" s="178" t="inlineStr">
        <is>
          <t>공식 사이트</t>
        </is>
      </c>
      <c r="R32" s="180" t="inlineStr">
        <is>
          <t>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</t>
        </is>
      </c>
      <c r="S32" s="178" t="inlineStr">
        <is>
          <t>@hareruya2namba</t>
        </is>
      </c>
      <c r="T32" s="178" t="n"/>
      <c r="U32" s="179" t="inlineStr">
        <is>
          <t>브랜드 공식 계정 晴れる屋2 브랜드 공식 계정(전 지점 공용)</t>
        </is>
      </c>
    </row>
    <row r="33" ht="52" customHeight="1">
      <c r="A33" s="128" t="inlineStr">
        <is>
          <t>오사카</t>
        </is>
      </c>
      <c r="B33" s="129" t="inlineStr">
        <is>
          <t>니폰바시·난바</t>
        </is>
      </c>
      <c r="C33" s="129" t="n">
        <v>9</v>
      </c>
      <c r="D33" s="50" t="inlineStr">
        <is>
          <t>駿河屋 日本橋トレカ店 / Surugaya Nipponbashi</t>
        </is>
      </c>
      <c r="E33" s="50" t="inlineStr">
        <is>
          <t>06-6641-2500</t>
        </is>
      </c>
      <c r="F33" s="50" t="inlineStr">
        <is>
          <t>大阪市浪速区日本橋4-11-3</t>
        </is>
      </c>
      <c r="G33" s="50" t="inlineStr">
        <is>
          <t>10:00~21:00 (공개 지도 기준)</t>
        </is>
      </c>
      <c r="H33" s="50" t="inlineStr">
        <is>
          <t>대형 중고 하비 체인 스루가야의 니폰바시 매장으로 트레이딩 카드와 다양한 수집 상품을 함께 볼 수 있습니다.</t>
        </is>
      </c>
      <c r="I33" s="50" t="inlineStr">
        <is>
          <t>공식 페이지 미확인</t>
        </is>
      </c>
      <c r="J33" s="50">
        <f>HYPERLINK("https://www.google.com/maps/search/?api=1&amp;query=%E9%A7%BF%E6%B2%B3%E5%B1%8B%20%E6%97%A5%E6%9C%AC%E6%A9%8B%E3%83%88%E3%83%AC%E3%82%AB%E5%BA%97%20/%20Surugaya%20Nipponbashi%20%E5%A4%A7%E9%98%AA%E5%B8%82%E6%B5%AA%E9%80%9F%E5%8C%BA%E6%97%A5%E6%9C%AC%E6%A9%8B4-11-3","지도·매장사진 보기")</f>
        <v/>
      </c>
      <c r="K33" s="50">
        <f>HYPERLINK("https://www.google.com/search?tbm=isch&amp;q=%E9%A7%BF%E6%B2%B3%E5%B1%8B%20%E6%97%A5%E6%9C%AC%E6%A9%8B%E3%83%88%E3%83%AC%E3%82%AB%E5%BA%97%20/%20Surugaya%20Nipponbashi%20%E5%A4%A7%E9%98%AA%E5%B8%82%E6%B5%AA%E9%80%9F%E5%8C%BA%E6%97%A5%E6%9C%AC%E6%A9%8B4-11-3","이미지 검색 보기")</f>
        <v/>
      </c>
      <c r="L33" s="50" t="inlineStr">
        <is>
          <t>https://www.google.com/maps/search/?api=1&amp;query=%E9%A7%BF%E6%B2%B3%E5%B1%8B%20%E6%97%A5%E6%9C%AC%E6%A9%8B%E3%83%88%E3%83%AC%E3%82%AB%E5%BA%97%20/%20Surugaya%20Nipponbashi%20%E5%A4%A7%E9%98%AA%E5%B8%82%E6%B5%AA%E9%80%9F%E5%8C%BA%E6%97%A5%E6%9C%AC%E6%A9%8B4-11-3</t>
        </is>
      </c>
      <c r="M33" s="51" t="inlineStr">
        <is>
          <t>2026-09-11</t>
        </is>
      </c>
      <c r="N33" s="178" t="inlineStr">
        <is>
          <t>@surugaya_jp</t>
        </is>
      </c>
      <c r="O33" s="180" t="inlineStr">
        <is>
          <t>https://www.instagram.com/surugaya_jp/</t>
        </is>
      </c>
      <c r="P33" s="180" t="inlineStr">
        <is>
          <t>https://scontent-icn2-1.cdninstagram.com/v/t51.2885-19/448634205_3866890380206326_5057204226306541723_n.jpg?stp=dst-jpg_s150x150_tt6&amp;_nc_cat=107&amp;ccb=7-5&amp;_nc_sid=f7ccc5&amp;efg=eyJ2ZW5jb2RlX3RhZyI6InByb2ZpbGVfcGljLnd3dy40MDAuQzMifQ%3D%3D&amp;_nc_ohc=LPxZKrw5h9gQ7kNvwGqlCQ_&amp;_nc_oc=AdpyS24ALhY4A15EE1GoS8FpmNf8_AoYzyXqHM39jMUiS-qOJfbRrgEfmQJfVRocdUg&amp;_nc_zt=24&amp;_nc_ht=scontent-icn2-1.cdninstagram.com&amp;_nc_ss=7fa02&amp;oh=00_AQKyBYI9OIs77hK1GJSmUCd1XtDKL3a69uqCb94PuYt-zA&amp;oe=6AA9E629</t>
        </is>
      </c>
      <c r="Q33" s="178" t="inlineStr">
        <is>
          <t>인스타 프로필(단기 만료)</t>
        </is>
      </c>
      <c r="R33" s="178" t="n"/>
      <c r="S33" s="178" t="n"/>
      <c r="T33" s="178" t="n"/>
      <c r="U33" s="179" t="inlineStr">
        <is>
          <t>브랜드 공식 계정 駿河屋 브랜드 공식 계정(전 지점 공용)</t>
        </is>
      </c>
    </row>
    <row r="34" ht="52" customHeight="1">
      <c r="A34" s="128" t="inlineStr">
        <is>
          <t>오사카</t>
        </is>
      </c>
      <c r="B34" s="129" t="inlineStr">
        <is>
          <t>우메다</t>
        </is>
      </c>
      <c r="C34" s="129" t="n">
        <v>1</v>
      </c>
      <c r="D34" s="50" t="inlineStr">
        <is>
          <t>MINT 梅田店 / MINT Umeda</t>
        </is>
      </c>
      <c r="E34" s="50" t="inlineStr">
        <is>
          <t>06-6136-6611</t>
        </is>
      </c>
      <c r="F34" s="50" t="inlineStr">
        <is>
          <t>大阪府大阪市北区芝田1-1-3 阪急三番街北館B1F</t>
        </is>
      </c>
      <c r="G34" s="50" t="inlineStr">
        <is>
          <t>10:00~21:00</t>
        </is>
      </c>
      <c r="H34" s="50" t="inlineStr">
        <is>
          <t>야구·축구·농구 등 스포츠카드와 카드게임을 함께 취급하는 MINT의 우메다 직영점입니다.</t>
        </is>
      </c>
      <c r="I34" s="50">
        <f>HYPERLINK("https://mint-web.jp/?pid=4246343","공식/매장 페이지")</f>
        <v/>
      </c>
      <c r="J34" s="50">
        <f>HYPERLINK("https://www.google.com/maps/search/?api=1&amp;query=MINT%20%E6%A2%85%E7%94%B0%E5%BA%97%20/%20MINT%20Umeda%20%E5%A4%A7%E9%98%AA%E5%BA%9C%E5%A4%A7%E9%98%AA%E5%B8%82%E5%8C%97%E5%8C%BA%E8%8A%9D%E7%94%B01-1-3%20%E9%98%AA%E6%80%A5%E4%B8%89%E7%95%AA%E8%A1%97%E5%8C%97%E9%A4%A8B1F","지도·매장사진 보기")</f>
        <v/>
      </c>
      <c r="K34" s="50">
        <f>HYPERLINK("https://www.google.com/search?tbm=isch&amp;q=MINT%20%E6%A2%85%E7%94%B0%E5%BA%97%20/%20MINT%20Umeda%20%E5%A4%A7%E9%98%AA%E5%BA%9C%E5%A4%A7%E9%98%AA%E5%B8%82%E5%8C%97%E5%8C%BA%E8%8A%9D%E7%94%B01-1-3%20%E9%98%AA%E6%80%A5%E4%B8%89%E7%95%AA%E8%A1%97%E5%8C%97%E9%A4%A8B1F","이미지 검색 보기")</f>
        <v/>
      </c>
      <c r="L34" s="50" t="inlineStr">
        <is>
          <t>https://mint-web.jp/?pid=4246343</t>
        </is>
      </c>
      <c r="M34" s="51" t="inlineStr">
        <is>
          <t>2026-09-11</t>
        </is>
      </c>
      <c r="N34" s="178" t="inlineStr">
        <is>
          <t>@mintcardjapan</t>
        </is>
      </c>
      <c r="O34" s="180" t="inlineStr">
        <is>
          <t>https://www.instagram.com/mintcardjapan/</t>
        </is>
      </c>
      <c r="P34" s="180" t="inlineStr">
        <is>
          <t>https://img07.shop-pro.jp/PA01031/426/product/4246343.jpg?cmsp_timestamp=20220712151235</t>
        </is>
      </c>
      <c r="Q34" s="178" t="inlineStr">
        <is>
          <t>공식 사이트</t>
        </is>
      </c>
      <c r="R34" s="180" t="inlineStr">
        <is>
          <t>https://scontent-icn2-1.cdninstagram.com/v/t51.82787-19/604740660_18059372816642657_3350166706630106538_n.jpg?stp=dst-jpg_s150x150_tt6&amp;_nc_cat=106&amp;ccb=7-5&amp;_nc_sid=f7ccc5&amp;efg=eyJ2ZW5jb2RlX3RhZyI6InByb2ZpbGVfcGljLnd3dy40MDAuQzMifQ%3D%3D&amp;_nc_ohc=7kNCEvzHHZ0Q7kNvwH0X5jm&amp;_nc_oc=AdqnWFt3A1Czngb6c4p3Ci0hbtbJ2W7qHvoJs52tn-b3OjjDI8m7yEK4RaQbJM0NU-E&amp;_nc_zt=24&amp;_nc_ht=scontent-icn2-1.cdninstagram.com&amp;_nc_gid=gARWiqER6H87eYbxdJW3WQ&amp;_nc_ss=7fa02&amp;oh=00_AQK7roYcWw-fa3sBdcNy6lUAX9OTzU6PXvQONlnqAB6KwQ&amp;oe=6AAA0A2B</t>
        </is>
      </c>
      <c r="S34" s="178" t="inlineStr">
        <is>
          <t>@mint_umeda</t>
        </is>
      </c>
      <c r="T34" s="178" t="n"/>
      <c r="U34" s="179" t="inlineStr">
        <is>
          <t>브랜드 공식 계정 MINT 브랜드 공식 계정(전 지점 공용)</t>
        </is>
      </c>
    </row>
    <row r="35" ht="52" customHeight="1">
      <c r="A35" s="132" t="inlineStr">
        <is>
          <t>후쿠오카</t>
        </is>
      </c>
      <c r="B35" s="133" t="inlineStr">
        <is>
          <t>텐진·다이묘</t>
        </is>
      </c>
      <c r="C35" s="133" t="n">
        <v>1</v>
      </c>
      <c r="D35" s="50" t="inlineStr">
        <is>
          <t>MINT 福岡PARCO店</t>
        </is>
      </c>
      <c r="E35" s="50" t="inlineStr">
        <is>
          <t>092-406-8030</t>
        </is>
      </c>
      <c r="F35" s="50" t="inlineStr">
        <is>
          <t>福岡県福岡市中央区天神2-11-1 福岡PARCO本館7F</t>
        </is>
      </c>
      <c r="G35" s="50" t="inlineStr">
        <is>
          <t>10:00~20:30</t>
        </is>
      </c>
      <c r="H35" s="50" t="inlineStr">
        <is>
          <t>스포츠카드와 트레이딩 카드게임을 함께 취급하는 MINT의 후쿠오카 PARCO 지점입니다.</t>
        </is>
      </c>
      <c r="I35" s="50">
        <f>HYPERLINK("https://fukuoka.parco.jp/shop/detail/?cd=027260","공식/매장 페이지")</f>
        <v/>
      </c>
      <c r="J35" s="50">
        <f>HYPERLINK("https://www.google.com/maps/search/?api=1&amp;query=MINT%20%E7%A6%8F%E5%B2%A1PARCO%E5%BA%97%20%E7%A6%8F%E5%B2%A1%E7%9C%8C%E7%A6%8F%E5%B2%A1%E5%B8%82%E4%B8%AD%E5%A4%AE%E5%8C%BA%E5%A4%A9%E7%A5%9E2-11-1%20%E7%A6%8F%E5%B2%A1PARCO%E6%9C%AC%E9%A4%A87F","지도·매장사진 보기")</f>
        <v/>
      </c>
      <c r="K35" s="50">
        <f>HYPERLINK("https://www.google.com/search?tbm=isch&amp;q=MINT%20%E7%A6%8F%E5%B2%A1PARCO%E5%BA%97%20%E7%A6%8F%E5%B2%A1%E7%9C%8C%E7%A6%8F%E5%B2%A1%E5%B8%82%E4%B8%AD%E5%A4%AE%E5%8C%BA%E5%A4%A9%E7%A5%9E2-11-1%20%E7%A6%8F%E5%B2%A1PARCO%E6%9C%AC%E9%A4%A87F","이미지 검색 보기")</f>
        <v/>
      </c>
      <c r="L35" s="50" t="inlineStr">
        <is>
          <t>https://fukuoka.parco.jp/shop/detail/?cd=027260</t>
        </is>
      </c>
      <c r="M35" s="51" t="inlineStr">
        <is>
          <t>2026-09-11</t>
        </is>
      </c>
      <c r="N35" s="178" t="inlineStr">
        <is>
          <t>@mintcardjapan</t>
        </is>
      </c>
      <c r="O35" s="180" t="inlineStr">
        <is>
          <t>https://www.instagram.com/mintcardjapan/</t>
        </is>
      </c>
      <c r="P35" s="180" t="inlineStr">
        <is>
          <t>https://image.parco.jp/SCCWEB/image/fukuoka/store/storage/w750/shop_cname_20211110115156.jpg</t>
        </is>
      </c>
      <c r="Q35" s="178" t="inlineStr">
        <is>
          <t>공식 사이트</t>
        </is>
      </c>
      <c r="R35" s="180" t="inlineStr">
        <is>
          <t>https://scontent-icn2-1.cdninstagram.com/v/t51.82787-19/604740660_18059372816642657_3350166706630106538_n.jpg?stp=dst-jpg_s150x150_tt6&amp;_nc_cat=106&amp;ccb=7-5&amp;_nc_sid=f7ccc5&amp;efg=eyJ2ZW5jb2RlX3RhZyI6InByb2ZpbGVfcGljLnd3dy40MDAuQzMifQ%3D%3D&amp;_nc_ohc=7kNCEvzHHZ0Q7kNvwH0X5jm&amp;_nc_oc=AdqnWFt3A1Czngb6c4p3Ci0hbtbJ2W7qHvoJs52tn-b3OjjDI8m7yEK4RaQbJM0NU-E&amp;_nc_zt=24&amp;_nc_ht=scontent-icn2-1.cdninstagram.com&amp;_nc_gid=gARWiqER6H87eYbxdJW3WQ&amp;_nc_ss=7fa02&amp;oh=00_AQK7roYcWw-fa3sBdcNy6lUAX9OTzU6PXvQONlnqAB6KwQ&amp;oe=6AAA0A2B</t>
        </is>
      </c>
      <c r="S35" s="178" t="inlineStr">
        <is>
          <t>@mint_fparco</t>
        </is>
      </c>
      <c r="T35" s="178" t="n"/>
      <c r="U35" s="179" t="inlineStr">
        <is>
          <t>브랜드 공식 계정 MINT 브랜드 공식 계정(전 지점 공용)</t>
        </is>
      </c>
    </row>
    <row r="36" ht="52" customHeight="1">
      <c r="A36" s="132" t="inlineStr">
        <is>
          <t>후쿠오카</t>
        </is>
      </c>
      <c r="B36" s="133" t="inlineStr">
        <is>
          <t>텐진·다이묘</t>
        </is>
      </c>
      <c r="C36" s="133" t="n">
        <v>2</v>
      </c>
      <c r="D36" s="50" t="inlineStr">
        <is>
          <t>カードラボ 福岡天神店 / Card Labo Fukuoka Tenjin</t>
        </is>
      </c>
      <c r="E36" s="50" t="inlineStr">
        <is>
          <t>092-791-2646</t>
        </is>
      </c>
      <c r="F36" s="50" t="inlineStr">
        <is>
          <t>福岡県福岡市中央区天神2-8-22 JMFビル天神西通り01 2F</t>
        </is>
      </c>
      <c r="G36" s="50" t="inlineStr">
        <is>
          <t>평일 11:00~20:00 / 주말·공휴일 10:00~20:00</t>
        </is>
      </c>
      <c r="H36" s="50" t="inlineStr">
        <is>
          <t>100석 듀얼 스페이스를 갖춘 멀티 TCG 매장으로 유희왕·포켓몬·바이스 등 다양한 게임을 취급합니다.</t>
        </is>
      </c>
      <c r="I36" s="50">
        <f>HYPERLINK("https://www.c-labo.jp/shop/fukuokatenjin/","공식/매장 페이지")</f>
        <v/>
      </c>
      <c r="J36" s="50">
        <f>HYPERLINK("https://www.google.com/maps/search/?api=1&amp;query=%E3%82%AB%E3%83%BC%E3%83%89%E3%83%A9%E3%83%9C%20%E7%A6%8F%E5%B2%A1%E5%A4%A9%E7%A5%9E%E5%BA%97%20/%20Card%20Labo%20Fukuoka%20Tenjin%20%E7%A6%8F%E5%B2%A1%E7%9C%8C%E7%A6%8F%E5%B2%A1%E5%B8%82%E4%B8%AD%E5%A4%AE%E5%8C%BA%E5%A4%A9%E7%A5%9E2-8-22%20JMF%E3%83%93%E3%83%AB%E5%A4%A9%E7%A5%9E%E8%A5%BF%E9%80%9A%E3%82%8A01%202F","지도·매장사진 보기")</f>
        <v/>
      </c>
      <c r="K36" s="50">
        <f>HYPERLINK("https://www.google.com/search?tbm=isch&amp;q=%E3%82%AB%E3%83%BC%E3%83%89%E3%83%A9%E3%83%9C%20%E7%A6%8F%E5%B2%A1%E5%A4%A9%E7%A5%9E%E5%BA%97%20/%20Card%20Labo%20Fukuoka%20Tenjin%20%E7%A6%8F%E5%B2%A1%E7%9C%8C%E7%A6%8F%E5%B2%A1%E5%B8%82%E4%B8%AD%E5%A4%AE%E5%8C%BA%E5%A4%A9%E7%A5%9E2-8-22%20JMF%E3%83%93%E3%83%AB%E5%A4%A9%E7%A5%9E%E8%A5%BF%E9%80%9A%E3%82%8A01%202F","이미지 검색 보기")</f>
        <v/>
      </c>
      <c r="L36" s="50" t="inlineStr">
        <is>
          <t>https://www.c-labo.jp/shop/fukuokatenjin/</t>
        </is>
      </c>
      <c r="M36" s="51" t="inlineStr">
        <is>
          <t>2026-09-11</t>
        </is>
      </c>
      <c r="N36" s="178" t="inlineStr">
        <is>
          <t>없음</t>
        </is>
      </c>
      <c r="O36" s="178" t="n"/>
      <c r="P36" s="180" t="inlineStr">
        <is>
          <t>https://www.c-labo.jp/wordpress/wp-content/uploads/2017/02/54f4e14288188615aa4eb9d70d677e2b.jpg</t>
        </is>
      </c>
      <c r="Q36" s="178" t="inlineStr">
        <is>
          <t>공식 사이트</t>
        </is>
      </c>
      <c r="R36" s="178" t="n"/>
      <c r="S36" s="178" t="inlineStr">
        <is>
          <t>@fktenjin_labo</t>
        </is>
      </c>
      <c r="T36" s="178" t="n"/>
      <c r="U36" s="179" t="n"/>
    </row>
    <row r="37" ht="52" customHeight="1">
      <c r="A37" s="132" t="inlineStr">
        <is>
          <t>후쿠오카</t>
        </is>
      </c>
      <c r="B37" s="133" t="inlineStr">
        <is>
          <t>텐진·다이묘</t>
        </is>
      </c>
      <c r="C37" s="133" t="n">
        <v>3</v>
      </c>
      <c r="D37" s="50" t="inlineStr">
        <is>
          <t>晴れる屋2 福岡店 / Hareruya2 Fukuoka</t>
        </is>
      </c>
      <c r="E37" s="50" t="inlineStr">
        <is>
          <t>092-753-7999</t>
        </is>
      </c>
      <c r="F37" s="50" t="inlineStr">
        <is>
          <t>福岡県福岡市中央区大名2丁目1-53 BPRスクエア天神大名2F</t>
        </is>
      </c>
      <c r="G37" s="50" t="inlineStr">
        <is>
          <t>평일 12:00~21:00 / 주말·공휴일 10:00~21:00 / 연중무휴</t>
        </is>
      </c>
      <c r="H37" s="50" t="inlineStr">
        <is>
          <t>88석 플레이 공간을 갖춘 규슈권 포켓몬 카드 전문 대형 매장으로 판매·매입·이벤트를 함께 운영합니다.</t>
        </is>
      </c>
      <c r="I37" s="50">
        <f>HYPERLINK("https://www.hareruya2.com/pages/store_fukuoka","공식/매장 페이지")</f>
        <v/>
      </c>
      <c r="J37" s="50">
        <f>HYPERLINK("https://www.google.com/maps/search/?api=1&amp;query=%E6%99%B4%E3%82%8C%E3%82%8B%E5%B1%8B2%20%E7%A6%8F%E5%B2%A1%E5%BA%97%20/%20Hareruya2%20Fukuoka%20%E7%A6%8F%E5%B2%A1%E7%9C%8C%E7%A6%8F%E5%B2%A1%E5%B8%82%E4%B8%AD%E5%A4%AE%E5%8C%BA%E5%A4%A7%E5%90%8D2%E4%B8%81%E7%9B%AE1-53%20BPR%E3%82%B9%E3%82%AF%E3%82%A8%E3%82%A2%E5%A4%A9%E7%A5%9E%E5%A4%A7%E5%90%8D2F","지도·매장사진 보기")</f>
        <v/>
      </c>
      <c r="K37" s="50">
        <f>HYPERLINK("https://www.google.com/search?tbm=isch&amp;q=%E6%99%B4%E3%82%8C%E3%82%8B%E5%B1%8B2%20%E7%A6%8F%E5%B2%A1%E5%BA%97%20/%20Hareruya2%20Fukuoka%20%E7%A6%8F%E5%B2%A1%E7%9C%8C%E7%A6%8F%E5%B2%A1%E5%B8%82%E4%B8%AD%E5%A4%AE%E5%8C%BA%E5%A4%A7%E5%90%8D2%E4%B8%81%E7%9B%AE1-53%20BPR%E3%82%B9%E3%82%AF%E3%82%A8%E3%82%A2%E5%A4%A9%E7%A5%9E%E5%A4%A7%E5%90%8D2F","이미지 검색 보기")</f>
        <v/>
      </c>
      <c r="L37" s="50" t="inlineStr">
        <is>
          <t>https://www.hareruya2.com/pages/store_fukuoka</t>
        </is>
      </c>
      <c r="M37" s="51" t="inlineStr">
        <is>
          <t>2026-09-11</t>
        </is>
      </c>
      <c r="N37" s="178" t="inlineStr">
        <is>
          <t>@hareruya2_pokeca</t>
        </is>
      </c>
      <c r="O37" s="180" t="inlineStr">
        <is>
          <t>https://www.instagram.com/hareruya2_pokeca/</t>
        </is>
      </c>
      <c r="P37" s="180" t="inlineStr">
        <is>
          <t>https://hareruya2-filepool.s3.us-east-1.amazonaws.com/page/store_fukuoka/250904_hare2fukuoka_toplogo.webp</t>
        </is>
      </c>
      <c r="Q37" s="178" t="inlineStr">
        <is>
          <t>공식 사이트</t>
        </is>
      </c>
      <c r="R37" s="180" t="inlineStr">
        <is>
          <t>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</t>
        </is>
      </c>
      <c r="S37" s="178" t="inlineStr">
        <is>
          <t>@hareruya2fkok</t>
        </is>
      </c>
      <c r="T37" s="178" t="n"/>
      <c r="U37" s="179" t="inlineStr">
        <is>
          <t>브랜드 공식 계정 晴れる屋2 브랜드 공식 계정(전 지점 공용)</t>
        </is>
      </c>
    </row>
    <row r="38" ht="52" customHeight="1">
      <c r="A38" s="132" t="inlineStr">
        <is>
          <t>후쿠오카</t>
        </is>
      </c>
      <c r="B38" s="133" t="inlineStr">
        <is>
          <t>텐진·다이묘</t>
        </is>
      </c>
      <c r="C38" s="133" t="n">
        <v>4</v>
      </c>
      <c r="D38" s="50" t="inlineStr">
        <is>
          <t>駿河屋 新天町トレカ館 / Surugaya Shintencho</t>
        </is>
      </c>
      <c r="E38" s="50" t="str"/>
      <c r="F38" s="50" t="inlineStr">
        <is>
          <t>福岡市中央区天神2-8-215</t>
        </is>
      </c>
      <c r="G38" s="50" t="inlineStr">
        <is>
          <t>월~목 14:00~20:30 / 금~일 12:00~20:30 (공개 지도 기준)</t>
        </is>
      </c>
      <c r="H38" s="50" t="inlineStr">
        <is>
          <t>스루가야 계열의 트레이딩 카드 중심 매장으로 다양한 TCG와 중고 카드 상품을 취급합니다.</t>
        </is>
      </c>
      <c r="I38" s="50" t="inlineStr">
        <is>
          <t>공식 페이지 미확인</t>
        </is>
      </c>
      <c r="J38" s="50">
        <f>HYPERLINK("https://www.google.com/maps/search/?api=1&amp;query=%E9%A7%BF%E6%B2%B3%E5%B1%8B%20%E6%96%B0%E5%A4%A9%E7%94%BA%E3%83%88%E3%83%AC%E3%82%AB%E9%A4%A8%20/%20Surugaya%20Shintencho%20%E7%A6%8F%E5%B2%A1%E5%B8%82%E4%B8%AD%E5%A4%AE%E5%8C%BA%E5%A4%A9%E7%A5%9E2-8-215","지도·매장사진 보기")</f>
        <v/>
      </c>
      <c r="K38" s="50">
        <f>HYPERLINK("https://www.google.com/search?tbm=isch&amp;q=%E9%A7%BF%E6%B2%B3%E5%B1%8B%20%E6%96%B0%E5%A4%A9%E7%94%BA%E3%83%88%E3%83%AC%E3%82%AB%E9%A4%A8%20/%20Surugaya%20Shintencho%20%E7%A6%8F%E5%B2%A1%E5%B8%82%E4%B8%AD%E5%A4%AE%E5%8C%BA%E5%A4%A9%E7%A5%9E2-8-215","이미지 검색 보기")</f>
        <v/>
      </c>
      <c r="L38" s="50" t="inlineStr">
        <is>
          <t>https://www.google.com/maps/search/?api=1&amp;query=%E9%A7%BF%E6%B2%B3%E5%B1%8B%20%E6%96%B0%E5%A4%A9%E7%94%BA%E3%83%88%E3%83%AC%E3%82%AB%E9%A4%A8%20/%20Surugaya%20Shintencho%20%E7%A6%8F%E5%B2%A1%E5%B8%82%E4%B8%AD%E5%A4%AE%E5%8C%BA%E5%A4%A9%E7%A5%9E2-8-215</t>
        </is>
      </c>
      <c r="M38" s="51" t="inlineStr">
        <is>
          <t>2026-09-11</t>
        </is>
      </c>
      <c r="N38" s="178" t="inlineStr">
        <is>
          <t>@surugaya_jp</t>
        </is>
      </c>
      <c r="O38" s="180" t="inlineStr">
        <is>
          <t>https://www.instagram.com/surugaya_jp/</t>
        </is>
      </c>
      <c r="P38" s="180" t="inlineStr">
        <is>
          <t>https://scontent-icn2-1.cdninstagram.com/v/t51.2885-19/448634205_3866890380206326_5057204226306541723_n.jpg?stp=dst-jpg_s150x150_tt6&amp;_nc_cat=107&amp;ccb=7-5&amp;_nc_sid=f7ccc5&amp;efg=eyJ2ZW5jb2RlX3RhZyI6InByb2ZpbGVfcGljLnd3dy40MDAuQzMifQ%3D%3D&amp;_nc_ohc=LPxZKrw5h9gQ7kNvwGqlCQ_&amp;_nc_oc=AdpyS24ALhY4A15EE1GoS8FpmNf8_AoYzyXqHM39jMUiS-qOJfbRrgEfmQJfVRocdUg&amp;_nc_zt=24&amp;_nc_ht=scontent-icn2-1.cdninstagram.com&amp;_nc_ss=7fa02&amp;oh=00_AQKyBYI9OIs77hK1GJSmUCd1XtDKL3a69uqCb94PuYt-zA&amp;oe=6AA9E629</t>
        </is>
      </c>
      <c r="Q38" s="178" t="inlineStr">
        <is>
          <t>인스타 프로필(단기 만료)</t>
        </is>
      </c>
      <c r="R38" s="178" t="n"/>
      <c r="S38" s="178" t="n"/>
      <c r="T38" s="178" t="n"/>
      <c r="U38" s="179" t="inlineStr">
        <is>
          <t>브랜드 공식 계정 駿河屋 브랜드 공식 계정(전 지점 공용)</t>
        </is>
      </c>
    </row>
    <row r="39" ht="52" customHeight="1">
      <c r="A39" s="132" t="inlineStr">
        <is>
          <t>후쿠오카</t>
        </is>
      </c>
      <c r="B39" s="133" t="inlineStr">
        <is>
          <t>하카타</t>
        </is>
      </c>
      <c r="C39" s="133" t="n">
        <v>1</v>
      </c>
      <c r="D39" s="50" t="inlineStr">
        <is>
          <t>ONE PIECEカードゲーム 公式ショップ 博多店</t>
        </is>
      </c>
      <c r="E39" s="50" t="str"/>
      <c r="F39" s="50" t="inlineStr">
        <is>
          <t>福岡市博多区住吉1-2-74 キャナルシティ博多 サウスビルB1</t>
        </is>
      </c>
      <c r="G39" s="50" t="inlineStr">
        <is>
          <t>10:00~21:00 (시설 기준)</t>
        </is>
      </c>
      <c r="H39" s="50" t="inlineStr">
        <is>
          <t>원피스 카드게임 공식 숍으로 신상품·관련 상품과 공식 브랜드 체험을 함께 할 수 있는 매장입니다.</t>
        </is>
      </c>
      <c r="I39" s="50" t="inlineStr">
        <is>
          <t>공식 페이지 미확인</t>
        </is>
      </c>
      <c r="J39" s="50">
        <f>HYPERLINK("https://www.google.com/maps/search/?api=1&amp;query=ONE%20PIECE%E3%82%AB%E3%83%BC%E3%83%89%E3%82%B2%E3%83%BC%E3%83%A0%20%E5%85%AC%E5%BC%8F%E3%82%B7%E3%83%A7%E3%83%83%E3%83%97%20%E5%8D%9A%E5%A4%9A%E5%BA%97%20%E7%A6%8F%E5%B2%A1%E5%B8%82%E5%8D%9A%E5%A4%9A%E5%8C%BA%E4%BD%8F%E5%90%891-2-74%20%E3%82%AD%E3%83%A3%E3%83%8A%E3%83%AB%E3%82%B7%E3%83%86%E3%82%A3%E5%8D%9A%E5%A4%9A%20%E3%82%B5%E3%82%A6%E3%82%B9%E3%83%93%E3%83%ABB1","지도·매장사진 보기")</f>
        <v/>
      </c>
      <c r="K39" s="50">
        <f>HYPERLINK("https://www.google.com/search?tbm=isch&amp;q=ONE%20PIECE%E3%82%AB%E3%83%BC%E3%83%89%E3%82%B2%E3%83%BC%E3%83%A0%20%E5%85%AC%E5%BC%8F%E3%82%B7%E3%83%A7%E3%83%83%E3%83%97%20%E5%8D%9A%E5%A4%9A%E5%BA%97%20%E7%A6%8F%E5%B2%A1%E5%B8%82%E5%8D%9A%E5%A4%9A%E5%8C%BA%E4%BD%8F%E5%90%891-2-74%20%E3%82%AD%E3%83%A3%E3%83%8A%E3%83%AB%E3%82%B7%E3%83%86%E3%82%A3%E5%8D%9A%E5%A4%9A%20%E3%82%B5%E3%82%A6%E3%82%B9%E3%83%93%E3%83%ABB1","이미지 검색 보기")</f>
        <v/>
      </c>
      <c r="L39" s="50" t="inlineStr">
        <is>
          <t>https://www.google.com/maps/search/?api=1&amp;query=ONE%20PIECE%E3%82%AB%E3%83%BC%E3%83%89%E3%82%B2%E3%83%BC%E3%83%A0%20%E5%85%AC%E5%BC%8F%E3%82%B7%E3%83%A7%E3%83%83%E3%83%97%20%E5%8D%9A%E5%A4%9A%E5%BA%97%20%E7%A6%8F%E5%B2%A1%E5%B8%82%E5%8D%9A%E5%A4%9A%E5%8C%BA%E4%BD%8F%E5%90%891-2-74%20%E3%82%AD%E3%83%A3%E3%83%8A%E3%83%AB%E3%82%B7%E3%83%86%E3%82%A3%E5%8D%9A%E5%A4%9A%20%E3%82%B5%E3%82%A6%E3%82%B9%E3%83%93%E3%83%ABB1</t>
        </is>
      </c>
      <c r="M39" s="51" t="inlineStr">
        <is>
          <t>2026-09-11</t>
        </is>
      </c>
      <c r="N39" s="178" t="inlineStr">
        <is>
          <t>없음</t>
        </is>
      </c>
      <c r="O39" s="178" t="n"/>
      <c r="P39" s="178" t="n"/>
      <c r="Q39" s="178" t="n"/>
      <c r="R39" s="178" t="n"/>
      <c r="S39" s="178" t="inlineStr">
        <is>
          <t>@ONEPIECE_tcg</t>
        </is>
      </c>
      <c r="T39" s="178" t="n"/>
      <c r="U39" s="179" t="n"/>
    </row>
    <row r="40" ht="52" customHeight="1">
      <c r="A40" s="132" t="inlineStr">
        <is>
          <t>후쿠오카</t>
        </is>
      </c>
      <c r="B40" s="133" t="inlineStr">
        <is>
          <t>하카타</t>
        </is>
      </c>
      <c r="C40" s="133" t="n">
        <v>2</v>
      </c>
      <c r="D40" s="50" t="inlineStr">
        <is>
          <t>Pokémon Center FUKUOKA</t>
        </is>
      </c>
      <c r="E40" s="50" t="inlineStr">
        <is>
          <t>092-413-5185</t>
        </is>
      </c>
      <c r="F40" s="50" t="inlineStr">
        <is>
          <t>福岡市博多区博多駅中央街9-1 博多マルイ2F</t>
        </is>
      </c>
      <c r="G40" s="50" t="inlineStr">
        <is>
          <t>10:00~21:00</t>
        </is>
      </c>
      <c r="H40" s="50" t="inlineStr">
        <is>
          <t>전문 카드샵은 아니지만 포켓몬 공식 센터로 포켓몬 카드 상품과 굿즈를 함께 구매할 수 있습니다.</t>
        </is>
      </c>
      <c r="I40" s="50" t="inlineStr">
        <is>
          <t>공식 페이지 미확인</t>
        </is>
      </c>
      <c r="J40" s="50">
        <f>HYPERLINK("https://www.google.com/maps/search/?api=1&amp;query=Pok%C3%A9mon%20Center%20FUKUOKA%20%E7%A6%8F%E5%B2%A1%E5%B8%82%E5%8D%9A%E5%A4%9A%E5%8C%BA%E5%8D%9A%E5%A4%9A%E9%A7%85%E4%B8%AD%E5%A4%AE%E8%A1%979-1%20%E5%8D%9A%E5%A4%9A%E3%83%9E%E3%83%AB%E3%82%A42F","지도·매장사진 보기")</f>
        <v/>
      </c>
      <c r="K40" s="50">
        <f>HYPERLINK("https://www.google.com/search?tbm=isch&amp;q=Pok%C3%A9mon%20Center%20FUKUOKA%20%E7%A6%8F%E5%B2%A1%E5%B8%82%E5%8D%9A%E5%A4%9A%E5%8C%BA%E5%8D%9A%E5%A4%9A%E9%A7%85%E4%B8%AD%E5%A4%AE%E8%A1%979-1%20%E5%8D%9A%E5%A4%9A%E3%83%9E%E3%83%AB%E3%82%A42F","이미지 검색 보기")</f>
        <v/>
      </c>
      <c r="L40" s="50" t="inlineStr">
        <is>
          <t>https://www.google.com/maps/search/?api=1&amp;query=Pok%C3%A9mon%20Center%20FUKUOKA%20%E7%A6%8F%E5%B2%A1%E5%B8%82%E5%8D%9A%E5%A4%9A%E5%8C%BA%E5%8D%9A%E5%A4%9A%E9%A7%85%E4%B8%AD%E5%A4%AE%E8%A1%979-1%20%E5%8D%9A%E5%A4%9A%E3%83%9E%E3%83%AB%E3%82%A42F</t>
        </is>
      </c>
      <c r="M40" s="51" t="inlineStr">
        <is>
          <t>2026-09-11</t>
        </is>
      </c>
      <c r="N40" s="178" t="inlineStr">
        <is>
          <t>@pokemon_jpn</t>
        </is>
      </c>
      <c r="O40" s="180" t="inlineStr">
        <is>
          <t>https://www.instagram.com/pokemon_jpn/</t>
        </is>
      </c>
      <c r="P40" s="180" t="inlineStr">
        <is>
          <t>https://scontent-icn2-1.cdninstagram.com/v/t51.2885-19/23733811_906931792843258_6402748017207672832_n.jpg?stp=dst-jpg_s150x150_tt6&amp;_nc_cat=1&amp;ccb=7-5&amp;_nc_sid=f7ccc5&amp;efg=eyJ2ZW5jb2RlX3RhZyI6InByb2ZpbGVfcGljLnd3dy4zMjAuQzMifQ%3D%3D&amp;_nc_ohc=zO-v04a3G6cQ7kNvwHuLAxB&amp;_nc_oc=AdpcU-tFhCM10WJ8WwTkFW4Uol30jgCCncDsPDTa7H_vsdZT3HEnokQyfXgyGUHqT0g&amp;_nc_zt=24&amp;_nc_ht=scontent-icn2-1.cdninstagram.com&amp;_nc_ss=7fa02&amp;oh=00_AQIkWLSbwxlZBtgvWDBRu91eEOfzoB5C-myKBzG1Hpenwg&amp;oe=6AA9A978</t>
        </is>
      </c>
      <c r="Q40" s="178" t="inlineStr">
        <is>
          <t>인스타 프로필(단기 만료)</t>
        </is>
      </c>
      <c r="R40" s="178" t="n"/>
      <c r="S40" s="178" t="inlineStr">
        <is>
          <t>@pokemoncenterPR</t>
        </is>
      </c>
      <c r="T40" s="178" t="n"/>
      <c r="U40" s="179" t="inlineStr">
        <is>
          <t>포켓몬 공식 브랜드 계정(매장 개별 계정 없음)</t>
        </is>
      </c>
    </row>
    <row r="41" ht="52" customHeight="1">
      <c r="A41" s="132" t="inlineStr">
        <is>
          <t>후쿠오카</t>
        </is>
      </c>
      <c r="B41" s="133" t="inlineStr">
        <is>
          <t>하카타</t>
        </is>
      </c>
      <c r="C41" s="133" t="n">
        <v>3</v>
      </c>
      <c r="D41" s="50" t="inlineStr">
        <is>
          <t>カードラボ／カードゲーマーズ博多店</t>
        </is>
      </c>
      <c r="E41" s="50" t="inlineStr">
        <is>
          <t>092-434-6868</t>
        </is>
      </c>
      <c r="F41" s="50" t="inlineStr">
        <is>
          <t>福岡市博多区博多駅中央街2-1 博多バスターミナル7F namco内</t>
        </is>
      </c>
      <c r="G41" s="50" t="inlineStr">
        <is>
          <t>10:00~21:00</t>
        </is>
      </c>
      <c r="H41" s="50" t="inlineStr">
        <is>
          <t>하카타역 버스터미널 내 멀티 TCG 매장으로 카드 판매·매입과 게임별 상품을 폭넓게 취급합니다.</t>
        </is>
      </c>
      <c r="I41" s="50">
        <f>HYPERLINK("https://www.c-labo.jp/shop/cadogema_hakata/","공식/매장 페이지")</f>
        <v/>
      </c>
      <c r="J41" s="50">
        <f>HYPERLINK("https://www.google.com/maps/search/?api=1&amp;query=%E3%82%AB%E3%83%BC%E3%83%89%E3%83%A9%E3%83%9C%EF%BC%8F%E3%82%AB%E3%83%BC%E3%83%89%E3%82%B2%E3%83%BC%E3%83%9E%E3%83%BC%E3%82%BA%E5%8D%9A%E5%A4%9A%E5%BA%97%20%E7%A6%8F%E5%B2%A1%E5%B8%82%E5%8D%9A%E5%A4%9A%E5%8C%BA%E5%8D%9A%E5%A4%9A%E9%A7%85%E4%B8%AD%E5%A4%AE%E8%A1%972-1%20%E5%8D%9A%E5%A4%9A%E3%83%90%E3%82%B9%E3%82%BF%E3%83%BC%E3%83%9F%E3%83%8A%E3%83%AB7F%20namco%E5%86%85","지도·매장사진 보기")</f>
        <v/>
      </c>
      <c r="K41" s="50">
        <f>HYPERLINK("https://www.google.com/search?tbm=isch&amp;q=%E3%82%AB%E3%83%BC%E3%83%89%E3%83%A9%E3%83%9C%EF%BC%8F%E3%82%AB%E3%83%BC%E3%83%89%E3%82%B2%E3%83%BC%E3%83%9E%E3%83%BC%E3%82%BA%E5%8D%9A%E5%A4%9A%E5%BA%97%20%E7%A6%8F%E5%B2%A1%E5%B8%82%E5%8D%9A%E5%A4%9A%E5%8C%BA%E5%8D%9A%E5%A4%9A%E9%A7%85%E4%B8%AD%E5%A4%AE%E8%A1%972-1%20%E5%8D%9A%E5%A4%9A%E3%83%90%E3%82%B9%E3%82%BF%E3%83%BC%E3%83%9F%E3%83%8A%E3%83%AB7F%20namco%E5%86%85","이미지 검색 보기")</f>
        <v/>
      </c>
      <c r="L41" s="50" t="inlineStr">
        <is>
          <t>https://www.c-labo.jp/shop/cadogema_hakata/</t>
        </is>
      </c>
      <c r="M41" s="51" t="inlineStr">
        <is>
          <t>2026-09-11</t>
        </is>
      </c>
      <c r="N41" s="178" t="inlineStr">
        <is>
          <t>없음</t>
        </is>
      </c>
      <c r="O41" s="178" t="n"/>
      <c r="P41" s="180" t="inlineStr">
        <is>
          <t>https://www.c-labo.jp/wordpress/wp-content/uploads/2023/04/DSC_0894-1.jpg</t>
        </is>
      </c>
      <c r="Q41" s="178" t="inlineStr">
        <is>
          <t>공식 사이트</t>
        </is>
      </c>
      <c r="R41" s="178" t="n"/>
      <c r="S41" s="178" t="inlineStr">
        <is>
          <t>@hakatagema_tcg</t>
        </is>
      </c>
      <c r="T41" s="178" t="n"/>
      <c r="U41" s="179" t="n"/>
    </row>
    <row r="42" ht="52" customHeight="1">
      <c r="A42" s="98" t="inlineStr">
        <is>
          <t>나고야</t>
        </is>
      </c>
      <c r="B42" s="99" t="inlineStr">
        <is>
          <t>오스</t>
        </is>
      </c>
      <c r="C42" s="99" t="n">
        <v>1</v>
      </c>
      <c r="D42" s="50" t="inlineStr">
        <is>
          <t>Kikyoya</t>
        </is>
      </c>
      <c r="E42" s="50" t="inlineStr">
        <is>
          <t>052-262-3360</t>
        </is>
      </c>
      <c r="F42" s="50" t="inlineStr">
        <is>
          <t>愛知県名古屋市中区大須3-18-28</t>
        </is>
      </c>
      <c r="G42" s="50" t="inlineStr">
        <is>
          <t>평일 15:00~19:30 / 주말 12:00~19:30 (공개 지도 기준)</t>
        </is>
      </c>
      <c r="H42" s="50" t="inlineStr">
        <is>
          <t>오스의 로컬 카드·하비 매장으로 TCG 상품과 수집 상품을 함께 취급합니다.</t>
        </is>
      </c>
      <c r="I42" s="50" t="inlineStr">
        <is>
          <t>공식 페이지 미확인</t>
        </is>
      </c>
      <c r="J42" s="50">
        <f>HYPERLINK("https://www.google.com/maps/search/?api=1&amp;query=Kikyoya%20%E6%84%9B%E7%9F%A5%E7%9C%8C%E5%90%8D%E5%8F%A4%E5%B1%8B%E5%B8%82%E4%B8%AD%E5%8C%BA%E5%A4%A7%E9%A0%883-18-28","지도·매장사진 보기")</f>
        <v/>
      </c>
      <c r="K42" s="50">
        <f>HYPERLINK("https://www.google.com/search?tbm=isch&amp;q=Kikyoya%20%E6%84%9B%E7%9F%A5%E7%9C%8C%E5%90%8D%E5%8F%A4%E5%B1%8B%E5%B8%82%E4%B8%AD%E5%8C%BA%E5%A4%A7%E9%A0%883-18-28","이미지 검색 보기")</f>
        <v/>
      </c>
      <c r="L42" s="50" t="inlineStr">
        <is>
          <t>https://www.google.com/maps/search/?api=1&amp;query=Kikyoya%20%E6%84%9B%E7%9F%A5%E7%9C%8C%E5%90%8D%E5%8F%A4%E5%B1%8B%E5%B8%82%E4%B8%AD%E5%8C%BA%E5%A4%A7%E9%A0%883-18-28</t>
        </is>
      </c>
      <c r="M42" s="51" t="inlineStr">
        <is>
          <t>2026-09-11</t>
        </is>
      </c>
      <c r="N42" s="178" t="inlineStr">
        <is>
          <t>없음</t>
        </is>
      </c>
      <c r="O42" s="178" t="n"/>
      <c r="P42" s="178" t="n"/>
      <c r="Q42" s="178" t="n"/>
      <c r="R42" s="178" t="n"/>
      <c r="S42" s="178" t="n"/>
      <c r="T42" s="178" t="n"/>
      <c r="U42" s="179" t="inlineStr">
        <is>
          <t>공식 사이트/검색 모두 미확인</t>
        </is>
      </c>
    </row>
    <row r="43" ht="52" customHeight="1">
      <c r="A43" s="98" t="inlineStr">
        <is>
          <t>나고야</t>
        </is>
      </c>
      <c r="B43" s="99" t="inlineStr">
        <is>
          <t>오스</t>
        </is>
      </c>
      <c r="C43" s="99" t="n">
        <v>2</v>
      </c>
      <c r="D43" s="50" t="inlineStr">
        <is>
          <t>Top Card 名古屋大須 / Top Card Nagoya Osu</t>
        </is>
      </c>
      <c r="E43" s="50" t="inlineStr">
        <is>
          <t>052-212-8989</t>
        </is>
      </c>
      <c r="F43" s="50" t="inlineStr">
        <is>
          <t>愛知県名古屋市中区大須3-10-24 2F</t>
        </is>
      </c>
      <c r="G43" s="50" t="inlineStr">
        <is>
          <t>11:00~20:30 (공개 지도 기준)</t>
        </is>
      </c>
      <c r="H43" s="50" t="inlineStr">
        <is>
          <t>오스 지역의 트레이딩 카드 전문점으로 인기 카드게임 싱글과 상품을 취급합니다.</t>
        </is>
      </c>
      <c r="I43" s="50" t="inlineStr">
        <is>
          <t>공식 페이지 미확인</t>
        </is>
      </c>
      <c r="J43" s="50">
        <f>HYPERLINK("https://www.google.com/maps/search/?api=1&amp;query=Top%20Card%20%E5%90%8D%E5%8F%A4%E5%B1%8B%E5%A4%A7%E9%A0%88%20/%20Top%20Card%20Nagoya%20Osu%20%E6%84%9B%E7%9F%A5%E7%9C%8C%E5%90%8D%E5%8F%A4%E5%B1%8B%E5%B8%82%E4%B8%AD%E5%8C%BA%E5%A4%A7%E9%A0%883-10-24%202F","지도·매장사진 보기")</f>
        <v/>
      </c>
      <c r="K43" s="50">
        <f>HYPERLINK("https://www.google.com/search?tbm=isch&amp;q=Top%20Card%20%E5%90%8D%E5%8F%A4%E5%B1%8B%E5%A4%A7%E9%A0%88%20/%20Top%20Card%20Nagoya%20Osu%20%E6%84%9B%E7%9F%A5%E7%9C%8C%E5%90%8D%E5%8F%A4%E5%B1%8B%E5%B8%82%E4%B8%AD%E5%8C%BA%E5%A4%A7%E9%A0%883-10-24%202F","이미지 검색 보기")</f>
        <v/>
      </c>
      <c r="L43" s="50" t="inlineStr">
        <is>
          <t>https://www.google.com/maps/search/?api=1&amp;query=Top%20Card%20%E5%90%8D%E5%8F%A4%E5%B1%8B%E5%A4%A7%E9%A0%88%20/%20Top%20Card%20Nagoya%20Osu%20%E6%84%9B%E7%9F%A5%E7%9C%8C%E5%90%8D%E5%8F%A4%E5%B1%8B%E5%B8%82%E4%B8%AD%E5%8C%BA%E5%A4%A7%E9%A0%883-10-24%202F</t>
        </is>
      </c>
      <c r="M43" s="51" t="inlineStr">
        <is>
          <t>2026-09-11</t>
        </is>
      </c>
      <c r="N43" s="178" t="inlineStr">
        <is>
          <t>없음</t>
        </is>
      </c>
      <c r="O43" s="178" t="n"/>
      <c r="P43" s="178" t="n"/>
      <c r="Q43" s="178" t="n"/>
      <c r="R43" s="178" t="n"/>
      <c r="S43" s="178" t="n"/>
      <c r="T43" s="178" t="n"/>
      <c r="U43" s="179" t="inlineStr">
        <is>
          <t>공식 사이트/검색 모두 미확인</t>
        </is>
      </c>
    </row>
    <row r="44" ht="52" customHeight="1">
      <c r="A44" s="98" t="inlineStr">
        <is>
          <t>나고야</t>
        </is>
      </c>
      <c r="B44" s="99" t="inlineStr">
        <is>
          <t>오스</t>
        </is>
      </c>
      <c r="C44" s="99" t="n">
        <v>3</v>
      </c>
      <c r="D44" s="50" t="inlineStr">
        <is>
          <t>カードラボ 名古屋大須店 / Card Labo Nagoya Osu</t>
        </is>
      </c>
      <c r="E44" s="50" t="inlineStr">
        <is>
          <t>052-263-0601</t>
        </is>
      </c>
      <c r="F44" s="50" t="inlineStr">
        <is>
          <t>愛知県名古屋市中区大須3-30-40 万松寺ビル1F</t>
        </is>
      </c>
      <c r="G44" s="50" t="inlineStr">
        <is>
          <t>11:00~20:00</t>
        </is>
      </c>
      <c r="H44" s="50" t="inlineStr">
        <is>
          <t>오스 상권의 멀티 TCG 체인점으로 다양한 게임의 싱글·신상품·매입 서비스를 제공합니다.</t>
        </is>
      </c>
      <c r="I44" s="50">
        <f>HYPERLINK("https://www.c-labo.jp/shop/","공식/매장 페이지")</f>
        <v/>
      </c>
      <c r="J44" s="50">
        <f>HYPERLINK("https://www.google.com/maps/search/?api=1&amp;query=%E3%82%AB%E3%83%BC%E3%83%89%E3%83%A9%E3%83%9C%20%E5%90%8D%E5%8F%A4%E5%B1%8B%E5%A4%A7%E9%A0%88%E5%BA%97%20/%20Card%20Labo%20Nagoya%20Osu%20%E6%84%9B%E7%9F%A5%E7%9C%8C%E5%90%8D%E5%8F%A4%E5%B1%8B%E5%B8%82%E4%B8%AD%E5%8C%BA%E5%A4%A7%E9%A0%883-30-40%20%E4%B8%87%E6%9D%BE%E5%AF%BA%E3%83%93%E3%83%AB1F","지도·매장사진 보기")</f>
        <v/>
      </c>
      <c r="K44" s="50">
        <f>HYPERLINK("https://www.google.com/search?tbm=isch&amp;q=%E3%82%AB%E3%83%BC%E3%83%89%E3%83%A9%E3%83%9C%20%E5%90%8D%E5%8F%A4%E5%B1%8B%E5%A4%A7%E9%A0%88%E5%BA%97%20/%20Card%20Labo%20Nagoya%20Osu%20%E6%84%9B%E7%9F%A5%E7%9C%8C%E5%90%8D%E5%8F%A4%E5%B1%8B%E5%B8%82%E4%B8%AD%E5%8C%BA%E5%A4%A7%E9%A0%883-30-40%20%E4%B8%87%E6%9D%BE%E5%AF%BA%E3%83%93%E3%83%AB1F","이미지 검색 보기")</f>
        <v/>
      </c>
      <c r="L44" s="50" t="inlineStr">
        <is>
          <t>https://www.c-labo.jp/shop/</t>
        </is>
      </c>
      <c r="M44" s="51" t="inlineStr">
        <is>
          <t>2026-09-11</t>
        </is>
      </c>
      <c r="N44" s="178" t="inlineStr">
        <is>
          <t>없음</t>
        </is>
      </c>
      <c r="O44" s="178" t="n"/>
      <c r="P44" s="180" t="inlineStr">
        <is>
          <t>https://www.c-labo.jp/wordpress/wp-content/uploads/2017/02/67a13adbe749257d95c16f00b292c223.jpg</t>
        </is>
      </c>
      <c r="Q44" s="178" t="inlineStr">
        <is>
          <t>공식 사이트</t>
        </is>
      </c>
      <c r="R44" s="178" t="n"/>
      <c r="S44" s="178" t="inlineStr">
        <is>
          <t>@oosu_clabo</t>
        </is>
      </c>
      <c r="T44" s="178" t="n"/>
      <c r="U44" s="179" t="n"/>
    </row>
    <row r="45" ht="52" customHeight="1">
      <c r="A45" s="98" t="inlineStr">
        <is>
          <t>나고야</t>
        </is>
      </c>
      <c r="B45" s="99" t="inlineStr">
        <is>
          <t>오스</t>
        </is>
      </c>
      <c r="C45" s="99" t="n">
        <v>4</v>
      </c>
      <c r="D45" s="50" t="inlineStr">
        <is>
          <t>晴れる屋2 大須店 / Hareruya2 Osu</t>
        </is>
      </c>
      <c r="E45" s="50" t="inlineStr">
        <is>
          <t>052-990-6460</t>
        </is>
      </c>
      <c r="F45" s="50" t="inlineStr">
        <is>
          <t>愛知県名古屋市中区大須4-11-5 Z'sビル4F</t>
        </is>
      </c>
      <c r="G45" s="50" t="inlineStr">
        <is>
          <t>평일 12:00~21:00 / 주말·공휴일 10:00~21:00 / 연중무휴</t>
        </is>
      </c>
      <c r="H45" s="50" t="inlineStr">
        <is>
          <t>68석 플레이 공간을 갖춘 포켓몬 카드 전문점으로 오스 지역에서 판매·매입·이벤트를 모두 이용할 수 있습니다.</t>
        </is>
      </c>
      <c r="I45" s="50">
        <f>HYPERLINK("https://www.hareruya2.com/pages/store_osu-en","공식/매장 페이지")</f>
        <v/>
      </c>
      <c r="J45" s="50">
        <f>HYPERLINK("https://www.google.com/maps/search/?api=1&amp;query=%E6%99%B4%E3%82%8C%E3%82%8B%E5%B1%8B2%20%E5%A4%A7%E9%A0%88%E5%BA%97%20/%20Hareruya2%20Osu%20%E6%84%9B%E7%9F%A5%E7%9C%8C%E5%90%8D%E5%8F%A4%E5%B1%8B%E5%B8%82%E4%B8%AD%E5%8C%BA%E5%A4%A7%E9%A0%884-11-5%20Z%27s%E3%83%93%E3%83%AB4F","지도·매장사진 보기")</f>
        <v/>
      </c>
      <c r="K45" s="50">
        <f>HYPERLINK("https://www.google.com/search?tbm=isch&amp;q=%E6%99%B4%E3%82%8C%E3%82%8B%E5%B1%8B2%20%E5%A4%A7%E9%A0%88%E5%BA%97%20/%20Hareruya2%20Osu%20%E6%84%9B%E7%9F%A5%E7%9C%8C%E5%90%8D%E5%8F%A4%E5%B1%8B%E5%B8%82%E4%B8%AD%E5%8C%BA%E5%A4%A7%E9%A0%884-11-5%20Z%27s%E3%83%93%E3%83%AB4F","이미지 검색 보기")</f>
        <v/>
      </c>
      <c r="L45" s="50" t="inlineStr">
        <is>
          <t>https://www.hareruya2.com/pages/store_osu-en</t>
        </is>
      </c>
      <c r="M45" s="51" t="inlineStr">
        <is>
          <t>2026-09-11</t>
        </is>
      </c>
      <c r="N45" s="178" t="inlineStr">
        <is>
          <t>@hareruya2_pokeca</t>
        </is>
      </c>
      <c r="O45" s="180" t="inlineStr">
        <is>
          <t>https://www.instagram.com/hareruya2_pokeca/</t>
        </is>
      </c>
      <c r="P45" s="180" t="inlineStr">
        <is>
          <t>https://hareruya2-filepool.s3.us-east-1.amazonaws.com/page/store_osu/store_2604_hare2osu.webp</t>
        </is>
      </c>
      <c r="Q45" s="178" t="inlineStr">
        <is>
          <t>공식 사이트</t>
        </is>
      </c>
      <c r="R45" s="180" t="inlineStr">
        <is>
          <t>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</t>
        </is>
      </c>
      <c r="S45" s="178" t="inlineStr">
        <is>
          <t>@hareruya2osu</t>
        </is>
      </c>
      <c r="T45" s="178" t="n"/>
      <c r="U45" s="179" t="inlineStr">
        <is>
          <t>브랜드 공식 계정 晴れる屋2 브랜드 공식 계정(전 지점 공용)</t>
        </is>
      </c>
    </row>
    <row r="46" ht="52" customHeight="1">
      <c r="A46" s="98" t="inlineStr">
        <is>
          <t>나고야</t>
        </is>
      </c>
      <c r="B46" s="99" t="inlineStr">
        <is>
          <t>나고야역</t>
        </is>
      </c>
      <c r="C46" s="99" t="n">
        <v>1</v>
      </c>
      <c r="D46" s="50" t="inlineStr">
        <is>
          <t>カードラボ 名古屋駅前店 / Card Labo Nagoya Ekimae</t>
        </is>
      </c>
      <c r="E46" s="50" t="inlineStr">
        <is>
          <t>052-433-5138</t>
        </is>
      </c>
      <c r="F46" s="50" t="inlineStr">
        <is>
          <t>愛知県名古屋市中村区椿町15-21 明治安田生命名古屋西口ビル1F</t>
        </is>
      </c>
      <c r="G46" s="50" t="inlineStr">
        <is>
          <t>월~목 12:00~21:00 / 금 12:00~22:00 / 주말·공휴일 10:00~22:00</t>
        </is>
      </c>
      <c r="H46" s="50" t="inlineStr">
        <is>
          <t>나고야역 인근 멀티 TCG 매장으로 다양한 카드게임의 싱글·신상품과 이벤트 수요가 많습니다.</t>
        </is>
      </c>
      <c r="I46" s="50">
        <f>HYPERLINK("https://www.c-labo.jp/shop/","공식/매장 페이지")</f>
        <v/>
      </c>
      <c r="J46" s="50">
        <f>HYPERLINK("https://www.google.com/maps/search/?api=1&amp;query=%E3%82%AB%E3%83%BC%E3%83%89%E3%83%A9%E3%83%9C%20%E5%90%8D%E5%8F%A4%E5%B1%8B%E9%A7%85%E5%89%8D%E5%BA%97%20/%20Card%20Labo%20Nagoya%20Ekimae%20%E6%84%9B%E7%9F%A5%E7%9C%8C%E5%90%8D%E5%8F%A4%E5%B1%8B%E5%B8%82%E4%B8%AD%E6%9D%91%E5%8C%BA%E6%A4%BF%E7%94%BA15-21%20%E6%98%8E%E6%B2%BB%E5%AE%89%E7%94%B0%E7%94%9F%E5%91%BD%E5%90%8D%E5%8F%A4%E5%B1%8B%E8%A5%BF%E5%8F%A3%E3%83%93%E3%83%AB1F","지도·매장사진 보기")</f>
        <v/>
      </c>
      <c r="K46" s="50">
        <f>HYPERLINK("https://www.google.com/search?tbm=isch&amp;q=%E3%82%AB%E3%83%BC%E3%83%89%E3%83%A9%E3%83%9C%20%E5%90%8D%E5%8F%A4%E5%B1%8B%E9%A7%85%E5%89%8D%E5%BA%97%20/%20Card%20Labo%20Nagoya%20Ekimae%20%E6%84%9B%E7%9F%A5%E7%9C%8C%E5%90%8D%E5%8F%A4%E5%B1%8B%E5%B8%82%E4%B8%AD%E6%9D%91%E5%8C%BA%E6%A4%BF%E7%94%BA15-21%20%E6%98%8E%E6%B2%BB%E5%AE%89%E7%94%B0%E7%94%9F%E5%91%BD%E5%90%8D%E5%8F%A4%E5%B1%8B%E8%A5%BF%E5%8F%A3%E3%83%93%E3%83%AB1F","이미지 검색 보기")</f>
        <v/>
      </c>
      <c r="L46" s="50" t="inlineStr">
        <is>
          <t>https://www.c-labo.jp/shop/</t>
        </is>
      </c>
      <c r="M46" s="51" t="inlineStr">
        <is>
          <t>2026-09-11</t>
        </is>
      </c>
      <c r="N46" s="178" t="inlineStr">
        <is>
          <t>없음</t>
        </is>
      </c>
      <c r="O46" s="178" t="n"/>
      <c r="P46" s="180" t="inlineStr">
        <is>
          <t>https://www.c-labo.jp/wordpress/wp-content/uploads/2017/02/95f19c808c36659e457883bd264b8a9e.jpg</t>
        </is>
      </c>
      <c r="Q46" s="178" t="inlineStr">
        <is>
          <t>공식 사이트</t>
        </is>
      </c>
      <c r="R46" s="178" t="n"/>
      <c r="S46" s="178" t="inlineStr">
        <is>
          <t>@meieki2_labo</t>
        </is>
      </c>
      <c r="T46" s="178" t="n"/>
      <c r="U46" s="179" t="n"/>
    </row>
    <row r="47" ht="52" customHeight="1">
      <c r="A47" s="98" t="inlineStr">
        <is>
          <t>나고야</t>
        </is>
      </c>
      <c r="B47" s="99" t="inlineStr">
        <is>
          <t>사카에</t>
        </is>
      </c>
      <c r="C47" s="99" t="n">
        <v>1</v>
      </c>
      <c r="D47" s="50" t="inlineStr">
        <is>
          <t>Pokémon Center Nagoya</t>
        </is>
      </c>
      <c r="E47" s="50" t="inlineStr">
        <is>
          <t>052-746-9951</t>
        </is>
      </c>
      <c r="F47" s="50" t="inlineStr">
        <is>
          <t>愛知県名古屋市中区栄3-29-1 名古屋PARCO東館2F</t>
        </is>
      </c>
      <c r="G47" s="50" t="inlineStr">
        <is>
          <t>10:00~20:00</t>
        </is>
      </c>
      <c r="H47" s="50" t="inlineStr">
        <is>
          <t>전문 카드샵은 아니지만 포켓몬 공식 센터로 카드 상품과 포켓몬 굿즈를 함께 취급합니다.</t>
        </is>
      </c>
      <c r="I47" s="50" t="inlineStr">
        <is>
          <t>공식 페이지 미확인</t>
        </is>
      </c>
      <c r="J47" s="50">
        <f>HYPERLINK("https://www.google.com/maps/search/?api=1&amp;query=Pok%C3%A9mon%20Center%20Nagoya%20%E6%84%9B%E7%9F%A5%E7%9C%8C%E5%90%8D%E5%8F%A4%E5%B1%8B%E5%B8%82%E4%B8%AD%E5%8C%BA%E6%A0%843-29-1%20%E5%90%8D%E5%8F%A4%E5%B1%8BPARCO%E6%9D%B1%E9%A4%A82F","지도·매장사진 보기")</f>
        <v/>
      </c>
      <c r="K47" s="50">
        <f>HYPERLINK("https://www.google.com/search?tbm=isch&amp;q=Pok%C3%A9mon%20Center%20Nagoya%20%E6%84%9B%E7%9F%A5%E7%9C%8C%E5%90%8D%E5%8F%A4%E5%B1%8B%E5%B8%82%E4%B8%AD%E5%8C%BA%E6%A0%843-29-1%20%E5%90%8D%E5%8F%A4%E5%B1%8BPARCO%E6%9D%B1%E9%A4%A82F","이미지 검색 보기")</f>
        <v/>
      </c>
      <c r="L47" s="50" t="inlineStr">
        <is>
          <t>https://www.google.com/maps/search/?api=1&amp;query=Pok%C3%A9mon%20Center%20Nagoya%20%E6%84%9B%E7%9F%A5%E7%9C%8C%E5%90%8D%E5%8F%A4%E5%B1%8B%E5%B8%82%E4%B8%AD%E5%8C%BA%E6%A0%843-29-1%20%E5%90%8D%E5%8F%A4%E5%B1%8BPARCO%E6%9D%B1%E9%A4%A82F</t>
        </is>
      </c>
      <c r="M47" s="51" t="inlineStr">
        <is>
          <t>2026-09-11</t>
        </is>
      </c>
      <c r="N47" s="178" t="inlineStr">
        <is>
          <t>@pokemon_jpn</t>
        </is>
      </c>
      <c r="O47" s="180" t="inlineStr">
        <is>
          <t>https://www.instagram.com/pokemon_jpn/</t>
        </is>
      </c>
      <c r="P47" s="180" t="inlineStr">
        <is>
          <t>https://scontent-icn2-1.cdninstagram.com/v/t51.2885-19/23733811_906931792843258_6402748017207672832_n.jpg?stp=dst-jpg_s150x150_tt6&amp;_nc_cat=1&amp;ccb=7-5&amp;_nc_sid=f7ccc5&amp;efg=eyJ2ZW5jb2RlX3RhZyI6InByb2ZpbGVfcGljLnd3dy4zMjAuQzMifQ%3D%3D&amp;_nc_ohc=zO-v04a3G6cQ7kNvwHuLAxB&amp;_nc_oc=AdpcU-tFhCM10WJ8WwTkFW4Uol30jgCCncDsPDTa7H_vsdZT3HEnokQyfXgyGUHqT0g&amp;_nc_zt=24&amp;_nc_ht=scontent-icn2-1.cdninstagram.com&amp;_nc_ss=7fa02&amp;oh=00_AQIkWLSbwxlZBtgvWDBRu91eEOfzoB5C-myKBzG1Hpenwg&amp;oe=6AA9A978</t>
        </is>
      </c>
      <c r="Q47" s="178" t="inlineStr">
        <is>
          <t>인스타 프로필(단기 만료)</t>
        </is>
      </c>
      <c r="R47" s="178" t="n"/>
      <c r="S47" s="178" t="inlineStr">
        <is>
          <t>@pokemoncenterPR</t>
        </is>
      </c>
      <c r="T47" s="178" t="n"/>
      <c r="U47" s="179" t="inlineStr">
        <is>
          <t>포켓몬 공식 브랜드 계정(매장 개별 계정 없음)</t>
        </is>
      </c>
    </row>
    <row r="48" ht="52" customHeight="1">
      <c r="A48" s="136" t="inlineStr">
        <is>
          <t>요코하마</t>
        </is>
      </c>
      <c r="B48" s="137" t="inlineStr">
        <is>
          <t>요코하마역</t>
        </is>
      </c>
      <c r="C48" s="137" t="n">
        <v>1</v>
      </c>
      <c r="D48" s="50" t="inlineStr">
        <is>
          <t>MINT 横浜ビブレ店 / MINT Yokohama Vivre</t>
        </is>
      </c>
      <c r="E48" s="50" t="inlineStr">
        <is>
          <t>045-620-7680</t>
        </is>
      </c>
      <c r="F48" s="50" t="inlineStr">
        <is>
          <t>神奈川県横浜市西区南幸2-15-13 横浜ビブレ6F</t>
        </is>
      </c>
      <c r="G48" s="50" t="inlineStr">
        <is>
          <t>평일 11:00~21:00 / 주말·공휴일 10:00~21:00</t>
        </is>
      </c>
      <c r="H48" s="50" t="inlineStr">
        <is>
          <t>요코하마 비브레 내 스포츠카드·트레이딩 카드 전문점으로 수집형 상품을 폭넓게 취급합니다.</t>
        </is>
      </c>
      <c r="I48" s="50">
        <f>HYPERLINK("https://mint-web.jp/","공식/매장 페이지")</f>
        <v/>
      </c>
      <c r="J48" s="50">
        <f>HYPERLINK("https://www.google.com/maps/search/?api=1&amp;query=MINT%20%E6%A8%AA%E6%B5%9C%E3%83%93%E3%83%96%E3%83%AC%E5%BA%97%20/%20MINT%20Yokohama%20Vivre%20%E7%A5%9E%E5%A5%88%E5%B7%9D%E7%9C%8C%E6%A8%AA%E6%B5%9C%E5%B8%82%E8%A5%BF%E5%8C%BA%E5%8D%97%E5%B9%B82-15-13%20%E6%A8%AA%E6%B5%9C%E3%83%93%E3%83%96%E3%83%AC6F","지도·매장사진 보기")</f>
        <v/>
      </c>
      <c r="K48" s="50">
        <f>HYPERLINK("https://www.google.com/search?tbm=isch&amp;q=MINT%20%E6%A8%AA%E6%B5%9C%E3%83%93%E3%83%96%E3%83%AC%E5%BA%97%20/%20MINT%20Yokohama%20Vivre%20%E7%A5%9E%E5%A5%88%E5%B7%9D%E7%9C%8C%E6%A8%AA%E6%B5%9C%E5%B8%82%E8%A5%BF%E5%8C%BA%E5%8D%97%E5%B9%B82-15-13%20%E6%A8%AA%E6%B5%9C%E3%83%93%E3%83%96%E3%83%AC6F","이미지 검색 보기")</f>
        <v/>
      </c>
      <c r="L48" s="50" t="inlineStr">
        <is>
          <t>https://mint-web.jp/</t>
        </is>
      </c>
      <c r="M48" s="51" t="inlineStr">
        <is>
          <t>2026-09-11</t>
        </is>
      </c>
      <c r="N48" s="178" t="inlineStr">
        <is>
          <t>@mint_yokohama_vivre</t>
        </is>
      </c>
      <c r="O48" s="180" t="inlineStr">
        <is>
          <t>https://www.instagram.com/mint_yokohama_vivre/</t>
        </is>
      </c>
      <c r="P48" s="180" t="inlineStr">
        <is>
          <t>https://scontent-icn2-1.cdninstagram.com/v/t51.82787-19/716570811_18093598739017283_5447743136686436522_n.jpg?stp=dst-jpg_s150x150_tt6&amp;_nc_cat=105&amp;ccb=7-5&amp;_nc_sid=f7ccc5&amp;efg=eyJ2ZW5jb2RlX3RhZyI6InByb2ZpbGVfcGljLnd3dy4zMjAuQzMifQ%3D%3D&amp;_nc_ohc=8jhXzbkamdEQ7kNvwHIHqDs&amp;_nc_oc=AdoyE3j8vv_iaZLpglwvDVsWRRZTO1_opwKmno9XzdE6Bw4PsPPeayKNL24i4ry7Izw&amp;_nc_zt=24&amp;_nc_ht=scontent-icn2-1.cdninstagram.com&amp;_nc_gid=QT3kFx0A8hXn0Q5WtiKIAw&amp;_nc_ss=7fa02&amp;oh=00_AQLNus1JJ5v_C8bxlLLKSus6bARxASc32CYumNmeiM_GQA&amp;oe=6AA981DC</t>
        </is>
      </c>
      <c r="Q48" s="178" t="inlineStr">
        <is>
          <t>인스타 프로필(단기 만료)</t>
        </is>
      </c>
      <c r="R48" s="178" t="n"/>
      <c r="S48" s="178" t="inlineStr">
        <is>
          <t>@mint_yokohama_v</t>
        </is>
      </c>
      <c r="T48" s="178" t="n"/>
      <c r="U48" s="179" t="inlineStr">
        <is>
          <t>프로필 검증 완료</t>
        </is>
      </c>
    </row>
    <row r="49" ht="52" customHeight="1">
      <c r="A49" s="136" t="inlineStr">
        <is>
          <t>요코하마</t>
        </is>
      </c>
      <c r="B49" s="137" t="inlineStr">
        <is>
          <t>요코하마역</t>
        </is>
      </c>
      <c r="C49" s="137" t="n">
        <v>2</v>
      </c>
      <c r="D49" s="50" t="inlineStr">
        <is>
          <t>MINT 横浜店 / MINT Yokohama</t>
        </is>
      </c>
      <c r="E49" s="50" t="inlineStr">
        <is>
          <t>045-594-9800</t>
        </is>
      </c>
      <c r="F49" s="50" t="inlineStr">
        <is>
          <t>神奈川県横浜市西区高島2-19-12 スカイビル7F</t>
        </is>
      </c>
      <c r="G49" s="50" t="inlineStr">
        <is>
          <t>10:30~20:30</t>
        </is>
      </c>
      <c r="H49" s="50" t="inlineStr">
        <is>
          <t>스포츠카드와 MTG·포켓몬·원피스 등 카드게임을 함께 취급하는 MINT의 요코하마점입니다.</t>
        </is>
      </c>
      <c r="I49" s="50">
        <f>HYPERLINK("https://mint-web.jp/?pid=4245019","공식/매장 페이지")</f>
        <v/>
      </c>
      <c r="J49" s="50">
        <f>HYPERLINK("https://www.google.com/maps/search/?api=1&amp;query=MINT%20%E6%A8%AA%E6%B5%9C%E5%BA%97%20/%20MINT%20Yokohama%20%E7%A5%9E%E5%A5%88%E5%B7%9D%E7%9C%8C%E6%A8%AA%E6%B5%9C%E5%B8%82%E8%A5%BF%E5%8C%BA%E9%AB%98%E5%B3%B62-19-12%20%E3%82%B9%E3%82%AB%E3%82%A4%E3%83%93%E3%83%AB7F","지도·매장사진 보기")</f>
        <v/>
      </c>
      <c r="K49" s="50">
        <f>HYPERLINK("https://www.google.com/search?tbm=isch&amp;q=MINT%20%E6%A8%AA%E6%B5%9C%E5%BA%97%20/%20MINT%20Yokohama%20%E7%A5%9E%E5%A5%88%E5%B7%9D%E7%9C%8C%E6%A8%AA%E6%B5%9C%E5%B8%82%E8%A5%BF%E5%8C%BA%E9%AB%98%E5%B3%B62-19-12%20%E3%82%B9%E3%82%AB%E3%82%A4%E3%83%93%E3%83%AB7F","이미지 검색 보기")</f>
        <v/>
      </c>
      <c r="L49" s="50" t="inlineStr">
        <is>
          <t>https://mint-web.jp/?pid=4245019</t>
        </is>
      </c>
      <c r="M49" s="51" t="inlineStr">
        <is>
          <t>2026-09-11</t>
        </is>
      </c>
      <c r="N49" s="178" t="inlineStr">
        <is>
          <t>@mintcardjapan</t>
        </is>
      </c>
      <c r="O49" s="180" t="inlineStr">
        <is>
          <t>https://www.instagram.com/mintcardjapan/</t>
        </is>
      </c>
      <c r="P49" s="180" t="inlineStr">
        <is>
          <t>https://img07.shop-pro.jp/PA01031/426/PA01031426.png?cmsp_timestamp=20260909154403</t>
        </is>
      </c>
      <c r="Q49" s="178" t="inlineStr">
        <is>
          <t>공식 사이트</t>
        </is>
      </c>
      <c r="R49" s="180" t="inlineStr">
        <is>
          <t>https://scontent-icn2-1.cdninstagram.com/v/t51.82787-19/604740660_18059372816642657_3350166706630106538_n.jpg?stp=dst-jpg_s150x150_tt6&amp;_nc_cat=106&amp;ccb=7-5&amp;_nc_sid=f7ccc5&amp;efg=eyJ2ZW5jb2RlX3RhZyI6InByb2ZpbGVfcGljLnd3dy40MDAuQzMifQ%3D%3D&amp;_nc_ohc=7kNCEvzHHZ0Q7kNvwH0X5jm&amp;_nc_oc=AdqnWFt3A1Czngb6c4p3Ci0hbtbJ2W7qHvoJs52tn-b3OjjDI8m7yEK4RaQbJM0NU-E&amp;_nc_zt=24&amp;_nc_ht=scontent-icn2-1.cdninstagram.com&amp;_nc_gid=gARWiqER6H87eYbxdJW3WQ&amp;_nc_ss=7fa02&amp;oh=00_AQK7roYcWw-fa3sBdcNy6lUAX9OTzU6PXvQONlnqAB6KwQ&amp;oe=6AAA0A2B</t>
        </is>
      </c>
      <c r="S49" s="178" t="inlineStr">
        <is>
          <t>@mint_yokohama</t>
        </is>
      </c>
      <c r="T49" s="178" t="n"/>
      <c r="U49" s="179" t="inlineStr">
        <is>
          <t>브랜드 공식 계정 MINT 브랜드 공식 계정(전 지점 공용)</t>
        </is>
      </c>
    </row>
    <row r="50" ht="52" customHeight="1">
      <c r="A50" s="136" t="inlineStr">
        <is>
          <t>요코하마</t>
        </is>
      </c>
      <c r="B50" s="137" t="inlineStr">
        <is>
          <t>요코하마역</t>
        </is>
      </c>
      <c r="C50" s="137" t="n">
        <v>3</v>
      </c>
      <c r="D50" s="50" t="inlineStr">
        <is>
          <t>Pokémon Center Yokohama</t>
        </is>
      </c>
      <c r="E50" s="50" t="inlineStr">
        <is>
          <t>045-453-3051</t>
        </is>
      </c>
      <c r="F50" s="50" t="inlineStr">
        <is>
          <t>神奈川県横浜市西区高島2-19-12</t>
        </is>
      </c>
      <c r="G50" s="50" t="inlineStr">
        <is>
          <t>10:30~20:30 (시설 기준)</t>
        </is>
      </c>
      <c r="H50" s="50" t="inlineStr">
        <is>
          <t>전문 카드샵은 아니지만 포켓몬 공식 센터로 카드 상품과 굿즈를 함께 볼 수 있는 요코하마의 대표 포켓몬 거점입니다.</t>
        </is>
      </c>
      <c r="I50" s="50" t="inlineStr">
        <is>
          <t>공식 페이지 미확인</t>
        </is>
      </c>
      <c r="J50" s="50">
        <f>HYPERLINK("https://www.google.com/maps/search/?api=1&amp;query=Pok%C3%A9mon%20Center%20Yokohama%20%E7%A5%9E%E5%A5%88%E5%B7%9D%E7%9C%8C%E6%A8%AA%E6%B5%9C%E5%B8%82%E8%A5%BF%E5%8C%BA%E9%AB%98%E5%B3%B62-19-12","지도·매장사진 보기")</f>
        <v/>
      </c>
      <c r="K50" s="50">
        <f>HYPERLINK("https://www.google.com/search?tbm=isch&amp;q=Pok%C3%A9mon%20Center%20Yokohama%20%E7%A5%9E%E5%A5%88%E5%B7%9D%E7%9C%8C%E6%A8%AA%E6%B5%9C%E5%B8%82%E8%A5%BF%E5%8C%BA%E9%AB%98%E5%B3%B62-19-12","이미지 검색 보기")</f>
        <v/>
      </c>
      <c r="L50" s="50" t="inlineStr">
        <is>
          <t>https://www.google.com/maps/search/?api=1&amp;query=Pok%C3%A9mon%20Center%20Yokohama%20%E7%A5%9E%E5%A5%88%E5%B7%9D%E7%9C%8C%E6%A8%AA%E6%B5%9C%E5%B8%82%E8%A5%BF%E5%8C%BA%E9%AB%98%E5%B3%B62-19-12</t>
        </is>
      </c>
      <c r="M50" s="51" t="inlineStr">
        <is>
          <t>2026-09-11</t>
        </is>
      </c>
      <c r="N50" s="178" t="inlineStr">
        <is>
          <t>@pokemon_jpn</t>
        </is>
      </c>
      <c r="O50" s="180" t="inlineStr">
        <is>
          <t>https://www.instagram.com/pokemon_jpn/</t>
        </is>
      </c>
      <c r="P50" s="180" t="inlineStr">
        <is>
          <t>https://scontent-icn2-1.cdninstagram.com/v/t51.2885-19/23733811_906931792843258_6402748017207672832_n.jpg?stp=dst-jpg_s150x150_tt6&amp;_nc_cat=1&amp;ccb=7-5&amp;_nc_sid=f7ccc5&amp;efg=eyJ2ZW5jb2RlX3RhZyI6InByb2ZpbGVfcGljLnd3dy4zMjAuQzMifQ%3D%3D&amp;_nc_ohc=zO-v04a3G6cQ7kNvwHuLAxB&amp;_nc_oc=AdpcU-tFhCM10WJ8WwTkFW4Uol30jgCCncDsPDTa7H_vsdZT3HEnokQyfXgyGUHqT0g&amp;_nc_zt=24&amp;_nc_ht=scontent-icn2-1.cdninstagram.com&amp;_nc_ss=7fa02&amp;oh=00_AQIkWLSbwxlZBtgvWDBRu91eEOfzoB5C-myKBzG1Hpenwg&amp;oe=6AA9A978</t>
        </is>
      </c>
      <c r="Q50" s="178" t="inlineStr">
        <is>
          <t>인스타 프로필(단기 만료)</t>
        </is>
      </c>
      <c r="R50" s="178" t="n"/>
      <c r="S50" s="178" t="inlineStr">
        <is>
          <t>@pokemoncenterPR</t>
        </is>
      </c>
      <c r="T50" s="178" t="n"/>
      <c r="U50" s="179" t="inlineStr">
        <is>
          <t>포켓몬 공식 브랜드 계정(매장 개별 계정 없음)</t>
        </is>
      </c>
    </row>
    <row r="51" ht="52" customHeight="1">
      <c r="A51" s="140" t="inlineStr">
        <is>
          <t>교토</t>
        </is>
      </c>
      <c r="B51" s="141" t="inlineStr">
        <is>
          <t>교토역</t>
        </is>
      </c>
      <c r="C51" s="141" t="n">
        <v>1</v>
      </c>
      <c r="D51" s="50" t="inlineStr">
        <is>
          <t>GIRAFULL 京都店</t>
        </is>
      </c>
      <c r="E51" s="50" t="inlineStr">
        <is>
          <t>075-746-4139</t>
        </is>
      </c>
      <c r="F51" s="50" t="inlineStr">
        <is>
          <t>京都府京都市下京区真苧屋町195 福井ビル2F</t>
        </is>
      </c>
      <c r="G51" s="50" t="inlineStr">
        <is>
          <t>평일 12:00~20:00 / 토 10:00~20:00 / 일·공휴일 10:00~19:00 (공개 정보 기준)</t>
        </is>
      </c>
      <c r="H51" s="50" t="inlineStr">
        <is>
          <t>교토역 인근의 멀티 TCG 카드샵으로 다양한 카드게임 상품과 대회·플레이 수요를 대응합니다.</t>
        </is>
      </c>
      <c r="I51" s="50">
        <f>HYPERLINK("https://sec.carddass.com/club/shoplists/shop_detail/7924/","공식/매장 페이지")</f>
        <v/>
      </c>
      <c r="J51" s="50">
        <f>HYPERLINK("https://www.google.com/maps/search/?api=1&amp;query=GIRAFULL%20%E4%BA%AC%E9%83%BD%E5%BA%97%20%E4%BA%AC%E9%83%BD%E5%BA%9C%E4%BA%AC%E9%83%BD%E5%B8%82%E4%B8%8B%E4%BA%AC%E5%8C%BA%E7%9C%9F%E8%8B%A7%E5%B1%8B%E7%94%BA195%20%E7%A6%8F%E4%BA%95%E3%83%93%E3%83%AB2F","지도·매장사진 보기")</f>
        <v/>
      </c>
      <c r="K51" s="50">
        <f>HYPERLINK("https://www.google.com/search?tbm=isch&amp;q=GIRAFULL%20%E4%BA%AC%E9%83%BD%E5%BA%97%20%E4%BA%AC%E9%83%BD%E5%BA%9C%E4%BA%AC%E9%83%BD%E5%B8%82%E4%B8%8B%E4%BA%AC%E5%8C%BA%E7%9C%9F%E8%8B%A7%E5%B1%8B%E7%94%BA195%20%E7%A6%8F%E4%BA%95%E3%83%93%E3%83%AB2F","이미지 검색 보기")</f>
        <v/>
      </c>
      <c r="L51" s="50" t="inlineStr">
        <is>
          <t>https://sec.carddass.com/club/shoplists/shop_detail/7924/</t>
        </is>
      </c>
      <c r="M51" s="51" t="inlineStr">
        <is>
          <t>2026-09-11</t>
        </is>
      </c>
      <c r="N51" s="178" t="inlineStr">
        <is>
          <t>@girafull_kyoto</t>
        </is>
      </c>
      <c r="O51" s="180" t="inlineStr">
        <is>
          <t>https://www.instagram.com/girafull_kyoto/</t>
        </is>
      </c>
      <c r="P51" s="180" t="inlineStr">
        <is>
          <t>https://scontent-icn2-1.cdninstagram.com/v/t51.2885-19/391517219_344074381430524_2106365339851292196_n.jpg?stp=dst-jpg_s150x150_tt6&amp;_nc_cat=110&amp;ccb=7-5&amp;_nc_sid=f7ccc5&amp;efg=eyJ2ZW5jb2RlX3RhZyI6InByb2ZpbGVfcGljLnd3dy40MDAuQzMifQ%3D%3D&amp;_nc_ohc=XODoE9jMOckQ7kNvwHcMKLM&amp;_nc_oc=AdrBCuFmayALUa1yZRL8H8HSQf3_HxwpMOnEYuVy26f60Xey1V0i4ZhAwfS2EPOJyCw&amp;_nc_zt=24&amp;_nc_ht=scontent-icn2-1.cdninstagram.com&amp;_nc_ss=7fa02&amp;oh=00_AQJ6Xh07v4pcPzeuMRnnpDpOlHu7VAKMR7QD2VH8bvaVRQ&amp;oe=6AAA08D9</t>
        </is>
      </c>
      <c r="Q51" s="178" t="inlineStr">
        <is>
          <t>인스타 프로필(단기 만료)</t>
        </is>
      </c>
      <c r="R51" s="178" t="n"/>
      <c r="S51" s="178" t="n"/>
      <c r="T51" s="178" t="n"/>
      <c r="U51" s="179" t="inlineStr">
        <is>
          <t>GIRAFULL 京都店 지점 전용 계정, 상호 정확히 일치</t>
        </is>
      </c>
    </row>
    <row r="52" ht="52" customHeight="1">
      <c r="A52" s="140" t="inlineStr">
        <is>
          <t>교토</t>
        </is>
      </c>
      <c r="B52" s="141" t="inlineStr">
        <is>
          <t>교토역</t>
        </is>
      </c>
      <c r="C52" s="141" t="n">
        <v>2</v>
      </c>
      <c r="D52" s="50" t="inlineStr">
        <is>
          <t>カードショップWiZ 京都駅前店</t>
        </is>
      </c>
      <c r="E52" s="50" t="str"/>
      <c r="F52" s="50" t="inlineStr">
        <is>
          <t>京都府京都市下京区東塩小路町720-1 B2</t>
        </is>
      </c>
      <c r="G52" s="50" t="inlineStr">
        <is>
          <t>평일 12:00~22:00 / 주말·공휴일 10:00~22:00</t>
        </is>
      </c>
      <c r="H52" s="50" t="inlineStr">
        <is>
          <t>교토역 앞 멀티 TCG 전문점으로 늦은 시간까지 카드 쇼핑과 플레이 이용이 가능한 매장입니다.</t>
        </is>
      </c>
      <c r="I52" s="50">
        <f>HYPERLINK("https://www.cardwiz.jp/page/4","공식/매장 페이지")</f>
        <v/>
      </c>
      <c r="J52" s="50">
        <f>HYPERLINK("https://www.google.com/maps/search/?api=1&amp;query=%E3%82%AB%E3%83%BC%E3%83%89%E3%82%B7%E3%83%A7%E3%83%83%E3%83%97WiZ%20%E4%BA%AC%E9%83%BD%E9%A7%85%E5%89%8D%E5%BA%97%20%E4%BA%AC%E9%83%BD%E5%BA%9C%E4%BA%AC%E9%83%BD%E5%B8%82%E4%B8%8B%E4%BA%AC%E5%8C%BA%E6%9D%B1%E5%A1%A9%E5%B0%8F%E8%B7%AF%E7%94%BA720-1%20B2","지도·매장사진 보기")</f>
        <v/>
      </c>
      <c r="K52" s="50">
        <f>HYPERLINK("https://www.google.com/search?tbm=isch&amp;q=%E3%82%AB%E3%83%BC%E3%83%89%E3%82%B7%E3%83%A7%E3%83%83%E3%83%97WiZ%20%E4%BA%AC%E9%83%BD%E9%A7%85%E5%89%8D%E5%BA%97%20%E4%BA%AC%E9%83%BD%E5%BA%9C%E4%BA%AC%E9%83%BD%E5%B8%82%E4%B8%8B%E4%BA%AC%E5%8C%BA%E6%9D%B1%E5%A1%A9%E5%B0%8F%E8%B7%AF%E7%94%BA720-1%20B2","이미지 검색 보기")</f>
        <v/>
      </c>
      <c r="L52" s="50" t="inlineStr">
        <is>
          <t>https://www.cardwiz.jp/page/4</t>
        </is>
      </c>
      <c r="M52" s="51" t="inlineStr">
        <is>
          <t>2026-09-11</t>
        </is>
      </c>
      <c r="N52" s="178" t="inlineStr">
        <is>
          <t>없음</t>
        </is>
      </c>
      <c r="O52" s="178" t="n"/>
      <c r="P52" s="178" t="n"/>
      <c r="Q52" s="178" t="n"/>
      <c r="R52" s="178" t="n"/>
      <c r="S52" s="178" t="n"/>
      <c r="T52" s="178" t="n"/>
      <c r="U52" s="179" t="inlineStr">
        <is>
          <t>공식 사이트/검색 모두 미확인</t>
        </is>
      </c>
    </row>
    <row r="53" ht="52" customHeight="1">
      <c r="A53" s="140" t="inlineStr">
        <is>
          <t>교토</t>
        </is>
      </c>
      <c r="B53" s="141" t="inlineStr">
        <is>
          <t>교토역</t>
        </is>
      </c>
      <c r="C53" s="141" t="n">
        <v>3</v>
      </c>
      <c r="D53" s="50" t="inlineStr">
        <is>
          <t>カードラボ アバンティ京都店 / Card Labo Avanti Kyoto</t>
        </is>
      </c>
      <c r="E53" s="50" t="inlineStr">
        <is>
          <t>075-682-8581</t>
        </is>
      </c>
      <c r="F53" s="50" t="inlineStr">
        <is>
          <t>京都府京都市南区東九条西山王町31 京都アバンティ6F</t>
        </is>
      </c>
      <c r="G53" s="50" t="inlineStr">
        <is>
          <t>10:00~21:00</t>
        </is>
      </c>
      <c r="H53" s="50" t="inlineStr">
        <is>
          <t>교토 아반티 내 멀티 TCG 전문점으로 다양한 게임의 카드 판매·매입과 이벤트를 운영합니다.</t>
        </is>
      </c>
      <c r="I53" s="50">
        <f>HYPERLINK("https://www.c-labo.jp/shop/","공식/매장 페이지")</f>
        <v/>
      </c>
      <c r="J53" s="50">
        <f>HYPERLINK("https://www.google.com/maps/search/?api=1&amp;query=%E3%82%AB%E3%83%BC%E3%83%89%E3%83%A9%E3%83%9C%20%E3%82%A2%E3%83%90%E3%83%B3%E3%83%86%E3%82%A3%E4%BA%AC%E9%83%BD%E5%BA%97%20/%20Card%20Labo%20Avanti%20Kyoto%20%E4%BA%AC%E9%83%BD%E5%BA%9C%E4%BA%AC%E9%83%BD%E5%B8%82%E5%8D%97%E5%8C%BA%E6%9D%B1%E4%B9%9D%E6%9D%A1%E8%A5%BF%E5%B1%B1%E7%8E%8B%E7%94%BA31%20%E4%BA%AC%E9%83%BD%E3%82%A2%E3%83%90%E3%83%B3%E3%83%86%E3%82%A36F","지도·매장사진 보기")</f>
        <v/>
      </c>
      <c r="K53" s="50">
        <f>HYPERLINK("https://www.google.com/search?tbm=isch&amp;q=%E3%82%AB%E3%83%BC%E3%83%89%E3%83%A9%E3%83%9C%20%E3%82%A2%E3%83%90%E3%83%B3%E3%83%86%E3%82%A3%E4%BA%AC%E9%83%BD%E5%BA%97%20/%20Card%20Labo%20Avanti%20Kyoto%20%E4%BA%AC%E9%83%BD%E5%BA%9C%E4%BA%AC%E9%83%BD%E5%B8%82%E5%8D%97%E5%8C%BA%E6%9D%B1%E4%B9%9D%E6%9D%A1%E8%A5%BF%E5%B1%B1%E7%8E%8B%E7%94%BA31%20%E4%BA%AC%E9%83%BD%E3%82%A2%E3%83%90%E3%83%B3%E3%83%86%E3%82%A36F","이미지 검색 보기")</f>
        <v/>
      </c>
      <c r="L53" s="50" t="inlineStr">
        <is>
          <t>https://www.c-labo.jp/shop/</t>
        </is>
      </c>
      <c r="M53" s="51" t="inlineStr">
        <is>
          <t>2026-09-11</t>
        </is>
      </c>
      <c r="N53" s="178" t="inlineStr">
        <is>
          <t>없음</t>
        </is>
      </c>
      <c r="O53" s="178" t="n"/>
      <c r="P53" s="180" t="inlineStr">
        <is>
          <t>https://www.c-labo.jp/wordpress/wp-content/uploads/2017/02/658aaa8ddb986063b19c76234a3d75fd.jpg</t>
        </is>
      </c>
      <c r="Q53" s="178" t="inlineStr">
        <is>
          <t>공식 사이트</t>
        </is>
      </c>
      <c r="R53" s="178" t="n"/>
      <c r="S53" s="178" t="inlineStr">
        <is>
          <t>@avanti_labo</t>
        </is>
      </c>
      <c r="T53" s="178" t="n"/>
      <c r="U53" s="179" t="n"/>
    </row>
    <row r="54" ht="52" customHeight="1">
      <c r="A54" s="140" t="inlineStr">
        <is>
          <t>교토</t>
        </is>
      </c>
      <c r="B54" s="141" t="inlineStr">
        <is>
          <t>교토역</t>
        </is>
      </c>
      <c r="C54" s="141" t="n">
        <v>4</v>
      </c>
      <c r="D54" s="50" t="inlineStr">
        <is>
          <t>晴れる屋2 京都店 / Hareruya2 Kyoto</t>
        </is>
      </c>
      <c r="E54" s="50" t="inlineStr">
        <is>
          <t>075-600-0680</t>
        </is>
      </c>
      <c r="F54" s="50" t="inlineStr">
        <is>
          <t>京都市下京区東洞院通七条下る東塩小路町557-1 YU-AIビル6F</t>
        </is>
      </c>
      <c r="G54" s="50" t="inlineStr">
        <is>
          <t>평일 12:00~21:00 / 주말·공휴일 10:00~21:00 / 연중무휴</t>
        </is>
      </c>
      <c r="H54" s="50" t="inlineStr">
        <is>
          <t>교토역 도보권의 포켓몬 카드 전문점으로 최신·빈티지 싱글, 밀봉, 매입과 42석 플레이 공간을 운영합니다.</t>
        </is>
      </c>
      <c r="I54" s="50">
        <f>HYPERLINK("https://www.hareruya2.com/pages/store_kyoto","공식/매장 페이지")</f>
        <v/>
      </c>
      <c r="J54" s="50">
        <f>HYPERLINK("https://www.google.com/maps/search/?api=1&amp;query=%E6%99%B4%E3%82%8C%E3%82%8B%E5%B1%8B2%20%E4%BA%AC%E9%83%BD%E5%BA%97%20/%20Hareruya2%20Kyoto%20%E4%BA%AC%E9%83%BD%E5%B8%82%E4%B8%8B%E4%BA%AC%E5%8C%BA%E6%9D%B1%E6%B4%9E%E9%99%A2%E9%80%9A%E4%B8%83%E6%9D%A1%E4%B8%8B%E3%82%8B%E6%9D%B1%E5%A1%A9%E5%B0%8F%E8%B7%AF%E7%94%BA557-1%20YU-AI%E3%83%93%E3%83%AB6F","지도·매장사진 보기")</f>
        <v/>
      </c>
      <c r="K54" s="50">
        <f>HYPERLINK("https://www.google.com/search?tbm=isch&amp;q=%E6%99%B4%E3%82%8C%E3%82%8B%E5%B1%8B2%20%E4%BA%AC%E9%83%BD%E5%BA%97%20/%20Hareruya2%20Kyoto%20%E4%BA%AC%E9%83%BD%E5%B8%82%E4%B8%8B%E4%BA%AC%E5%8C%BA%E6%9D%B1%E6%B4%9E%E9%99%A2%E9%80%9A%E4%B8%83%E6%9D%A1%E4%B8%8B%E3%82%8B%E6%9D%B1%E5%A1%A9%E5%B0%8F%E8%B7%AF%E7%94%BA557-1%20YU-AI%E3%83%93%E3%83%AB6F","이미지 검색 보기")</f>
        <v/>
      </c>
      <c r="L54" s="50" t="inlineStr">
        <is>
          <t>https://www.hareruya2.com/pages/store_kyoto</t>
        </is>
      </c>
      <c r="M54" s="51" t="inlineStr">
        <is>
          <t>2026-09-11</t>
        </is>
      </c>
      <c r="N54" s="178" t="inlineStr">
        <is>
          <t>@hareruya2_pokeca</t>
        </is>
      </c>
      <c r="O54" s="180" t="inlineStr">
        <is>
          <t>https://www.instagram.com/hareruya2_pokeca/</t>
        </is>
      </c>
      <c r="P54" s="180" t="inlineStr">
        <is>
          <t>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</t>
        </is>
      </c>
      <c r="Q54" s="178" t="inlineStr">
        <is>
          <t>인스타 프로필(단기 만료)</t>
        </is>
      </c>
      <c r="R54" s="178" t="n"/>
      <c r="S54" s="178" t="inlineStr">
        <is>
          <t>@hareruya2kyoto</t>
        </is>
      </c>
      <c r="T54" s="178" t="n"/>
      <c r="U54" s="179" t="inlineStr">
        <is>
          <t>브랜드 공식 계정 1번 후보(hareruya_kyoto)는 무관 식당이라 거절, 晴れる屋2 브랜드 공식 계정으로 대체</t>
        </is>
      </c>
    </row>
    <row r="55" ht="52" customHeight="1">
      <c r="A55" s="144" t="inlineStr">
        <is>
          <t>삿포로</t>
        </is>
      </c>
      <c r="B55" s="145" t="inlineStr">
        <is>
          <t>오도리·스스키노</t>
        </is>
      </c>
      <c r="C55" s="145" t="n">
        <v>1</v>
      </c>
      <c r="D55" s="50" t="inlineStr">
        <is>
          <t>BAHAMUT</t>
        </is>
      </c>
      <c r="E55" s="50" t="inlineStr">
        <is>
          <t>011-251-1000</t>
        </is>
      </c>
      <c r="F55" s="50" t="inlineStr">
        <is>
          <t>北海道札幌市中央区南2条西5丁目13-64</t>
        </is>
      </c>
      <c r="G55" s="50" t="inlineStr">
        <is>
          <t>10:00~22:00 (공개 지도 기준)</t>
        </is>
      </c>
      <c r="H55" s="50" t="inlineStr">
        <is>
          <t>삿포로 중심가의 로컬 카드/게임 매장으로 다양한 TCG 플레이어가 찾는 매장입니다.</t>
        </is>
      </c>
      <c r="I55" s="50" t="inlineStr">
        <is>
          <t>공식 페이지 미확인</t>
        </is>
      </c>
      <c r="J55" s="50">
        <f>HYPERLINK("https://www.google.com/maps/search/?api=1&amp;query=BAHAMUT%20%E5%8C%97%E6%B5%B7%E9%81%93%E6%9C%AD%E5%B9%8C%E5%B8%82%E4%B8%AD%E5%A4%AE%E5%8C%BA%E5%8D%972%E6%9D%A1%E8%A5%BF5%E4%B8%81%E7%9B%AE13-64","지도·매장사진 보기")</f>
        <v/>
      </c>
      <c r="K55" s="50">
        <f>HYPERLINK("https://www.google.com/search?tbm=isch&amp;q=BAHAMUT%20%E5%8C%97%E6%B5%B7%E9%81%93%E6%9C%AD%E5%B9%8C%E5%B8%82%E4%B8%AD%E5%A4%AE%E5%8C%BA%E5%8D%972%E6%9D%A1%E8%A5%BF5%E4%B8%81%E7%9B%AE13-64","이미지 검색 보기")</f>
        <v/>
      </c>
      <c r="L55" s="50" t="inlineStr">
        <is>
          <t>https://www.google.com/maps/search/?api=1&amp;query=BAHAMUT%20%E5%8C%97%E6%B5%B7%E9%81%93%E6%9C%AD%E5%B9%8C%E5%B8%82%E4%B8%AD%E5%A4%AE%E5%8C%BA%E5%8D%972%E6%9D%A1%E8%A5%BF5%E4%B8%81%E7%9B%AE13-64</t>
        </is>
      </c>
      <c r="M55" s="51" t="inlineStr">
        <is>
          <t>2026-09-11</t>
        </is>
      </c>
      <c r="N55" s="178" t="inlineStr">
        <is>
          <t>@bahamut_7777</t>
        </is>
      </c>
      <c r="O55" s="180" t="inlineStr">
        <is>
          <t>https://www.instagram.com/bahamut_7777/</t>
        </is>
      </c>
      <c r="P55" s="180" t="inlineStr">
        <is>
          <t>https://scontent-icn2-1.cdninstagram.com/v/t51.2885-19/482725481_1137710804759509_908970472290347087_n.jpg?stp=dst-jpg_s150x150_tt6&amp;_nc_cat=111&amp;ccb=7-5&amp;_nc_sid=f7ccc5&amp;efg=eyJ2ZW5jb2RlX3RhZyI6InByb2ZpbGVfcGljLnd3dy45NzYuQzMifQ%3D%3D&amp;_nc_ohc=6FVnzn6ceqIQ7kNvwFQruNH&amp;_nc_oc=AdoE_1csyXFz0NmBssASj_cQYKBwDzKDO7yHbzg6wTdGe5u8J1RyPyN0_JwLm_V7waE&amp;_nc_zt=24&amp;_nc_ht=scontent-icn2-1.cdninstagram.com&amp;_nc_ss=7fa02&amp;oh=00_AQIm84SgePBjEklVqubIJhgXqaksjT6dIQeeuvjAe-2Anw&amp;oe=6AA9FC3D</t>
        </is>
      </c>
      <c r="Q55" s="178" t="inlineStr">
        <is>
          <t>인스타 프로필(단기 만료)</t>
        </is>
      </c>
      <c r="R55" s="178" t="n"/>
      <c r="S55" s="178" t="n"/>
      <c r="T55" s="178" t="n"/>
      <c r="U55" s="179" t="inlineStr">
        <is>
          <t>상호 정확히 일치·トレカ샵 명시, 주소는 같은 블록(南2条西5丁目)이나 번지 표기가 13-64/16-34로 약간 다름(빌딩 내 이전/표기차 가능성)</t>
        </is>
      </c>
    </row>
    <row r="56" ht="52" customHeight="1">
      <c r="A56" s="144" t="inlineStr">
        <is>
          <t>삿포로</t>
        </is>
      </c>
      <c r="B56" s="145" t="inlineStr">
        <is>
          <t>오도리·스스키노</t>
        </is>
      </c>
      <c r="C56" s="145" t="n">
        <v>2</v>
      </c>
      <c r="D56" s="50" t="inlineStr">
        <is>
          <t>カードラボ 札幌店 / Card Labo Sapporo</t>
        </is>
      </c>
      <c r="E56" s="50" t="inlineStr">
        <is>
          <t>011-596-0520</t>
        </is>
      </c>
      <c r="F56" s="50" t="inlineStr">
        <is>
          <t>北海道札幌市中央区南2条西1丁目5 丸大ビル4F</t>
        </is>
      </c>
      <c r="G56" s="50" t="inlineStr">
        <is>
          <t>12:00~21:00 (공개 지도 기준)</t>
        </is>
      </c>
      <c r="H56" s="50" t="inlineStr">
        <is>
          <t>삿포로 중심가의 멀티 TCG 체인점으로 다양한 카드게임의 판매·매입과 이벤트를 운영합니다.</t>
        </is>
      </c>
      <c r="I56" s="50">
        <f>HYPERLINK("https://www.c-labo.jp/shop/","공식/매장 페이지")</f>
        <v/>
      </c>
      <c r="J56" s="50">
        <f>HYPERLINK("https://www.google.com/maps/search/?api=1&amp;query=%E3%82%AB%E3%83%BC%E3%83%89%E3%83%A9%E3%83%9C%20%E6%9C%AD%E5%B9%8C%E5%BA%97%20/%20Card%20Labo%20Sapporo%20%E5%8C%97%E6%B5%B7%E9%81%93%E6%9C%AD%E5%B9%8C%E5%B8%82%E4%B8%AD%E5%A4%AE%E5%8C%BA%E5%8D%972%E6%9D%A1%E8%A5%BF1%E4%B8%81%E7%9B%AE5%20%E4%B8%B8%E5%A4%A7%E3%83%93%E3%83%AB4F","지도·매장사진 보기")</f>
        <v/>
      </c>
      <c r="K56" s="50">
        <f>HYPERLINK("https://www.google.com/search?tbm=isch&amp;q=%E3%82%AB%E3%83%BC%E3%83%89%E3%83%A9%E3%83%9C%20%E6%9C%AD%E5%B9%8C%E5%BA%97%20/%20Card%20Labo%20Sapporo%20%E5%8C%97%E6%B5%B7%E9%81%93%E6%9C%AD%E5%B9%8C%E5%B8%82%E4%B8%AD%E5%A4%AE%E5%8C%BA%E5%8D%972%E6%9D%A1%E8%A5%BF1%E4%B8%81%E7%9B%AE5%20%E4%B8%B8%E5%A4%A7%E3%83%93%E3%83%AB4F","이미지 검색 보기")</f>
        <v/>
      </c>
      <c r="L56" s="50" t="inlineStr">
        <is>
          <t>https://www.c-labo.jp/shop/</t>
        </is>
      </c>
      <c r="M56" s="51" t="inlineStr">
        <is>
          <t>2026-09-11</t>
        </is>
      </c>
      <c r="N56" s="178" t="inlineStr">
        <is>
          <t>없음</t>
        </is>
      </c>
      <c r="O56" s="178" t="n"/>
      <c r="P56" s="180" t="inlineStr">
        <is>
          <t>https://www.c-labo.jp/wordpress/wp-content/uploads/2017/02/0dc1c40e837b2e8d47e26c73eea6080e.jpg</t>
        </is>
      </c>
      <c r="Q56" s="178" t="inlineStr">
        <is>
          <t>공식 사이트</t>
        </is>
      </c>
      <c r="R56" s="178" t="n"/>
      <c r="S56" s="178" t="inlineStr">
        <is>
          <t>@sappo_labo</t>
        </is>
      </c>
      <c r="T56" s="178" t="n"/>
      <c r="U56" s="179" t="n"/>
    </row>
    <row r="57" ht="52" customHeight="1">
      <c r="A57" s="144" t="inlineStr">
        <is>
          <t>삿포로</t>
        </is>
      </c>
      <c r="B57" s="145" t="inlineStr">
        <is>
          <t>오도리·스스키노</t>
        </is>
      </c>
      <c r="C57" s="145" t="n">
        <v>3</v>
      </c>
      <c r="D57" s="50" t="inlineStr">
        <is>
          <t>晴れる屋 札幌店 / Hareruya Sapporo</t>
        </is>
      </c>
      <c r="E57" s="50" t="inlineStr">
        <is>
          <t>011-211-0453</t>
        </is>
      </c>
      <c r="F57" s="50" t="inlineStr">
        <is>
          <t>北海道札幌市中央区南2条西2丁目11 札幌NSビル8F</t>
        </is>
      </c>
      <c r="G57" s="50" t="str"/>
      <c r="H57" s="50" t="inlineStr">
        <is>
          <t>MTG를 중심으로 판매·매입·대회와 플레이 공간을 운영하는 Hareruya 계열 매장입니다.</t>
        </is>
      </c>
      <c r="I57" s="50" t="inlineStr">
        <is>
          <t>공식 페이지 미확인</t>
        </is>
      </c>
      <c r="J57" s="50">
        <f>HYPERLINK("https://www.google.com/maps/search/?api=1&amp;query=%E6%99%B4%E3%82%8C%E3%82%8B%E5%B1%8B%20%E6%9C%AD%E5%B9%8C%E5%BA%97%20/%20Hareruya%20Sapporo%20%E5%8C%97%E6%B5%B7%E9%81%93%E6%9C%AD%E5%B9%8C%E5%B8%82%E4%B8%AD%E5%A4%AE%E5%8C%BA%E5%8D%972%E6%9D%A1%E8%A5%BF2%E4%B8%81%E7%9B%AE11%20%E6%9C%AD%E5%B9%8CNS%E3%83%93%E3%83%AB8F","지도·매장사진 보기")</f>
        <v/>
      </c>
      <c r="K57" s="50">
        <f>HYPERLINK("https://www.google.com/search?tbm=isch&amp;q=%E6%99%B4%E3%82%8C%E3%82%8B%E5%B1%8B%20%E6%9C%AD%E5%B9%8C%E5%BA%97%20/%20Hareruya%20Sapporo%20%E5%8C%97%E6%B5%B7%E9%81%93%E6%9C%AD%E5%B9%8C%E5%B8%82%E4%B8%AD%E5%A4%AE%E5%8C%BA%E5%8D%972%E6%9D%A1%E8%A5%BF2%E4%B8%81%E7%9B%AE11%20%E6%9C%AD%E5%B9%8CNS%E3%83%93%E3%83%AB8F","이미지 검색 보기")</f>
        <v/>
      </c>
      <c r="L57" s="50" t="inlineStr">
        <is>
          <t>https://www.google.com/maps/search/?api=1&amp;query=%E6%99%B4%E3%82%8C%E3%82%8B%E5%B1%8B%20%E6%9C%AD%E5%B9%8C%E5%BA%97%20/%20Hareruya%20Sapporo%20%E5%8C%97%E6%B5%B7%E9%81%93%E6%9C%AD%E5%B9%8C%E5%B8%82%E4%B8%AD%E5%A4%AE%E5%8C%BA%E5%8D%972%E6%9D%A1%E8%A5%BF2%E4%B8%81%E7%9B%AE11%20%E6%9C%AD%E5%B9%8CNS%E3%83%93%E3%83%AB8F</t>
        </is>
      </c>
      <c r="M57" s="51" t="inlineStr">
        <is>
          <t>2026-09-11</t>
        </is>
      </c>
      <c r="N57" s="178" t="inlineStr">
        <is>
          <t>없음</t>
        </is>
      </c>
      <c r="O57" s="178" t="n"/>
      <c r="P57" s="178" t="n"/>
      <c r="Q57" s="178" t="n"/>
      <c r="R57" s="178" t="n"/>
      <c r="S57" s="178" t="n"/>
      <c r="T57" s="178" t="n"/>
      <c r="U57" s="179" t="inlineStr">
        <is>
          <t>공식 사이트/검색 모두 미확인</t>
        </is>
      </c>
    </row>
    <row r="58" ht="52" customHeight="1">
      <c r="A58" s="144" t="inlineStr">
        <is>
          <t>삿포로</t>
        </is>
      </c>
      <c r="B58" s="145" t="inlineStr">
        <is>
          <t>삿포로역</t>
        </is>
      </c>
      <c r="C58" s="145" t="n">
        <v>1</v>
      </c>
      <c r="D58" s="50" t="inlineStr">
        <is>
          <t>Pokémon Center Sapporo</t>
        </is>
      </c>
      <c r="E58" s="50" t="inlineStr">
        <is>
          <t>011-232-3212</t>
        </is>
      </c>
      <c r="F58" s="50" t="inlineStr">
        <is>
          <t>北海道札幌市中央区北5条西4丁目7 大丸札幌店8F</t>
        </is>
      </c>
      <c r="G58" s="50" t="inlineStr">
        <is>
          <t>10:00~20:00</t>
        </is>
      </c>
      <c r="H58" s="50" t="inlineStr">
        <is>
          <t>전문 카드샵은 아니지만 포켓몬 공식 센터로 카드 상품과 굿즈를 함께 취급합니다.</t>
        </is>
      </c>
      <c r="I58" s="50" t="inlineStr">
        <is>
          <t>공식 페이지 미확인</t>
        </is>
      </c>
      <c r="J58" s="50">
        <f>HYPERLINK("https://www.google.com/maps/search/?api=1&amp;query=Pok%C3%A9mon%20Center%20Sapporo%20%E5%8C%97%E6%B5%B7%E9%81%93%E6%9C%AD%E5%B9%8C%E5%B8%82%E4%B8%AD%E5%A4%AE%E5%8C%BA%E5%8C%975%E6%9D%A1%E8%A5%BF4%E4%B8%81%E7%9B%AE7%20%E5%A4%A7%E4%B8%B8%E6%9C%AD%E5%B9%8C%E5%BA%978F","지도·매장사진 보기")</f>
        <v/>
      </c>
      <c r="K58" s="50">
        <f>HYPERLINK("https://www.google.com/search?tbm=isch&amp;q=Pok%C3%A9mon%20Center%20Sapporo%20%E5%8C%97%E6%B5%B7%E9%81%93%E6%9C%AD%E5%B9%8C%E5%B8%82%E4%B8%AD%E5%A4%AE%E5%8C%BA%E5%8C%975%E6%9D%A1%E8%A5%BF4%E4%B8%81%E7%9B%AE7%20%E5%A4%A7%E4%B8%B8%E6%9C%AD%E5%B9%8C%E5%BA%978F","이미지 검색 보기")</f>
        <v/>
      </c>
      <c r="L58" s="50" t="inlineStr">
        <is>
          <t>https://www.google.com/maps/search/?api=1&amp;query=Pok%C3%A9mon%20Center%20Sapporo%20%E5%8C%97%E6%B5%B7%E9%81%93%E6%9C%AD%E5%B9%8C%E5%B8%82%E4%B8%AD%E5%A4%AE%E5%8C%BA%E5%8C%975%E6%9D%A1%E8%A5%BF4%E4%B8%81%E7%9B%AE7%20%E5%A4%A7%E4%B8%B8%E6%9C%AD%E5%B9%8C%E5%BA%978F</t>
        </is>
      </c>
      <c r="M58" s="51" t="inlineStr">
        <is>
          <t>2026-09-11</t>
        </is>
      </c>
      <c r="N58" s="178" t="inlineStr">
        <is>
          <t>@pokemon_jpn</t>
        </is>
      </c>
      <c r="O58" s="180" t="inlineStr">
        <is>
          <t>https://www.instagram.com/pokemon_jpn/</t>
        </is>
      </c>
      <c r="P58" s="180" t="inlineStr">
        <is>
          <t>https://scontent-icn2-1.cdninstagram.com/v/t51.2885-19/23733811_906931792843258_6402748017207672832_n.jpg?stp=dst-jpg_s150x150_tt6&amp;_nc_cat=1&amp;ccb=7-5&amp;_nc_sid=f7ccc5&amp;efg=eyJ2ZW5jb2RlX3RhZyI6InByb2ZpbGVfcGljLnd3dy4zMjAuQzMifQ%3D%3D&amp;_nc_ohc=zO-v04a3G6cQ7kNvwHuLAxB&amp;_nc_oc=AdpcU-tFhCM10WJ8WwTkFW4Uol30jgCCncDsPDTa7H_vsdZT3HEnokQyfXgyGUHqT0g&amp;_nc_zt=24&amp;_nc_ht=scontent-icn2-1.cdninstagram.com&amp;_nc_ss=7fa02&amp;oh=00_AQIkWLSbwxlZBtgvWDBRu91eEOfzoB5C-myKBzG1Hpenwg&amp;oe=6AA9A978</t>
        </is>
      </c>
      <c r="Q58" s="178" t="inlineStr">
        <is>
          <t>인스타 프로필(단기 만료)</t>
        </is>
      </c>
      <c r="R58" s="178" t="n"/>
      <c r="S58" s="178" t="inlineStr">
        <is>
          <t>@pokemoncenterPR</t>
        </is>
      </c>
      <c r="T58" s="178" t="n"/>
      <c r="U58" s="179" t="inlineStr">
        <is>
          <t>포켓몬 공식 브랜드 계정(매장 개별 계정 없음)</t>
        </is>
      </c>
    </row>
    <row r="59" ht="52" customHeight="1">
      <c r="A59" s="148" t="inlineStr">
        <is>
          <t>센다이</t>
        </is>
      </c>
      <c r="B59" s="149" t="inlineStr">
        <is>
          <t>센다이역</t>
        </is>
      </c>
      <c r="C59" s="149" t="n">
        <v>1</v>
      </c>
      <c r="D59" s="50" t="inlineStr">
        <is>
          <t>MINT 仙台店 / MINT Sendai</t>
        </is>
      </c>
      <c r="E59" s="50" t="inlineStr">
        <is>
          <t>022-712-1545</t>
        </is>
      </c>
      <c r="F59" s="50" t="inlineStr">
        <is>
          <t>宮城県仙台市青葉区中央1-2-3 仙台PARCO1 8F</t>
        </is>
      </c>
      <c r="G59" s="50" t="inlineStr">
        <is>
          <t>10:00~20:00</t>
        </is>
      </c>
      <c r="H59" s="50" t="inlineStr">
        <is>
          <t>야구·농구·축구 등 스포츠카드와 트레이딩 카드게임을 함께 취급하는 MINT 지점입니다.</t>
        </is>
      </c>
      <c r="I59" s="50">
        <f>HYPERLINK("https://mint-web.jp/","공식/매장 페이지")</f>
        <v/>
      </c>
      <c r="J59" s="50">
        <f>HYPERLINK("https://www.google.com/maps/search/?api=1&amp;query=MINT%20%E4%BB%99%E5%8F%B0%E5%BA%97%20/%20MINT%20Sendai%20%E5%AE%AE%E5%9F%8E%E7%9C%8C%E4%BB%99%E5%8F%B0%E5%B8%82%E9%9D%92%E8%91%89%E5%8C%BA%E4%B8%AD%E5%A4%AE1-2-3%20%E4%BB%99%E5%8F%B0PARCO1%208F","지도·매장사진 보기")</f>
        <v/>
      </c>
      <c r="K59" s="50">
        <f>HYPERLINK("https://www.google.com/search?tbm=isch&amp;q=MINT%20%E4%BB%99%E5%8F%B0%E5%BA%97%20/%20MINT%20Sendai%20%E5%AE%AE%E5%9F%8E%E7%9C%8C%E4%BB%99%E5%8F%B0%E5%B8%82%E9%9D%92%E8%91%89%E5%8C%BA%E4%B8%AD%E5%A4%AE1-2-3%20%E4%BB%99%E5%8F%B0PARCO1%208F","이미지 검색 보기")</f>
        <v/>
      </c>
      <c r="L59" s="50" t="inlineStr">
        <is>
          <t>https://mint-web.jp/</t>
        </is>
      </c>
      <c r="M59" s="51" t="inlineStr">
        <is>
          <t>2026-09-11</t>
        </is>
      </c>
      <c r="N59" s="178" t="inlineStr">
        <is>
          <t>@mintcardjapan</t>
        </is>
      </c>
      <c r="O59" s="180" t="inlineStr">
        <is>
          <t>https://www.instagram.com/mintcardjapan/</t>
        </is>
      </c>
      <c r="P59" s="180" t="inlineStr">
        <is>
          <t>https://scontent-icn2-1.cdninstagram.com/v/t51.82787-19/604740660_18059372816642657_3350166706630106538_n.jpg?stp=dst-jpg_s150x150_tt6&amp;_nc_cat=106&amp;ccb=7-5&amp;_nc_sid=f7ccc5&amp;efg=eyJ2ZW5jb2RlX3RhZyI6InByb2ZpbGVfcGljLnd3dy40MDAuQzMifQ%3D%3D&amp;_nc_ohc=7kNCEvzHHZ0Q7kNvwH0X5jm&amp;_nc_oc=AdqnWFt3A1Czngb6c4p3Ci0hbtbJ2W7qHvoJs52tn-b3OjjDI8m7yEK4RaQbJM0NU-E&amp;_nc_zt=24&amp;_nc_ht=scontent-icn2-1.cdninstagram.com&amp;_nc_gid=gARWiqER6H87eYbxdJW3WQ&amp;_nc_ss=7fa02&amp;oh=00_AQK7roYcWw-fa3sBdcNy6lUAX9OTzU6PXvQONlnqAB6KwQ&amp;oe=6AAA0A2B</t>
        </is>
      </c>
      <c r="Q59" s="178" t="inlineStr">
        <is>
          <t>인스타 프로필(단기 만료)</t>
        </is>
      </c>
      <c r="R59" s="178" t="n"/>
      <c r="S59" s="178" t="inlineStr">
        <is>
          <t>@mintsendai</t>
        </is>
      </c>
      <c r="T59" s="178" t="n"/>
      <c r="U59" s="179" t="inlineStr">
        <is>
          <t>브랜드 공식 계정 MINT 브랜드 공식 계정(전 지점 공용)</t>
        </is>
      </c>
    </row>
    <row r="60" ht="52" customHeight="1">
      <c r="A60" s="148" t="inlineStr">
        <is>
          <t>센다이</t>
        </is>
      </c>
      <c r="B60" s="149" t="inlineStr">
        <is>
          <t>센다이역</t>
        </is>
      </c>
      <c r="C60" s="149" t="n">
        <v>2</v>
      </c>
      <c r="D60" s="50" t="inlineStr">
        <is>
          <t>Pokémon Center Tohoku</t>
        </is>
      </c>
      <c r="E60" s="50" t="inlineStr">
        <is>
          <t>022-716-6870</t>
        </is>
      </c>
      <c r="F60" s="50" t="inlineStr">
        <is>
          <t>宮城県仙台市青葉区中央1-2-3 仙台PARCO1 3F</t>
        </is>
      </c>
      <c r="G60" s="50" t="inlineStr">
        <is>
          <t>10:00~20:00</t>
        </is>
      </c>
      <c r="H60" s="50" t="inlineStr">
        <is>
          <t>전문 카드샵은 아니지만 도호쿠 지역 포켓몬 공식 센터로 카드 상품과 굿즈를 함께 취급합니다.</t>
        </is>
      </c>
      <c r="I60" s="50" t="inlineStr">
        <is>
          <t>공식 페이지 미확인</t>
        </is>
      </c>
      <c r="J60" s="50">
        <f>HYPERLINK("https://www.google.com/maps/search/?api=1&amp;query=Pok%C3%A9mon%20Center%20Tohoku%20%E5%AE%AE%E5%9F%8E%E7%9C%8C%E4%BB%99%E5%8F%B0%E5%B8%82%E9%9D%92%E8%91%89%E5%8C%BA%E4%B8%AD%E5%A4%AE1-2-3%20%E4%BB%99%E5%8F%B0PARCO1%203F","지도·매장사진 보기")</f>
        <v/>
      </c>
      <c r="K60" s="50">
        <f>HYPERLINK("https://www.google.com/search?tbm=isch&amp;q=Pok%C3%A9mon%20Center%20Tohoku%20%E5%AE%AE%E5%9F%8E%E7%9C%8C%E4%BB%99%E5%8F%B0%E5%B8%82%E9%9D%92%E8%91%89%E5%8C%BA%E4%B8%AD%E5%A4%AE1-2-3%20%E4%BB%99%E5%8F%B0PARCO1%203F","이미지 검색 보기")</f>
        <v/>
      </c>
      <c r="L60" s="50" t="inlineStr">
        <is>
          <t>https://www.google.com/maps/search/?api=1&amp;query=Pok%C3%A9mon%20Center%20Tohoku%20%E5%AE%AE%E5%9F%8E%E7%9C%8C%E4%BB%99%E5%8F%B0%E5%B8%82%E9%9D%92%E8%91%89%E5%8C%BA%E4%B8%AD%E5%A4%AE1-2-3%20%E4%BB%99%E5%8F%B0PARCO1%203F</t>
        </is>
      </c>
      <c r="M60" s="51" t="inlineStr">
        <is>
          <t>2026-09-11</t>
        </is>
      </c>
      <c r="N60" s="178" t="inlineStr">
        <is>
          <t>@pokemon_jpn</t>
        </is>
      </c>
      <c r="O60" s="180" t="inlineStr">
        <is>
          <t>https://www.instagram.com/pokemon_jpn/</t>
        </is>
      </c>
      <c r="P60" s="180" t="inlineStr">
        <is>
          <t>https://scontent-icn2-1.cdninstagram.com/v/t51.2885-19/23733811_906931792843258_6402748017207672832_n.jpg?stp=dst-jpg_s150x150_tt6&amp;_nc_cat=1&amp;ccb=7-5&amp;_nc_sid=f7ccc5&amp;efg=eyJ2ZW5jb2RlX3RhZyI6InByb2ZpbGVfcGljLnd3dy4zMjAuQzMifQ%3D%3D&amp;_nc_ohc=zO-v04a3G6cQ7kNvwHuLAxB&amp;_nc_oc=AdpcU-tFhCM10WJ8WwTkFW4Uol30jgCCncDsPDTa7H_vsdZT3HEnokQyfXgyGUHqT0g&amp;_nc_zt=24&amp;_nc_ht=scontent-icn2-1.cdninstagram.com&amp;_nc_ss=7fa02&amp;oh=00_AQIkWLSbwxlZBtgvWDBRu91eEOfzoB5C-myKBzG1Hpenwg&amp;oe=6AA9A978</t>
        </is>
      </c>
      <c r="Q60" s="178" t="inlineStr">
        <is>
          <t>인스타 프로필(단기 만료)</t>
        </is>
      </c>
      <c r="R60" s="178" t="n"/>
      <c r="S60" s="178" t="inlineStr">
        <is>
          <t>@pokemoncenterPR</t>
        </is>
      </c>
      <c r="T60" s="178" t="n"/>
      <c r="U60" s="179" t="inlineStr">
        <is>
          <t>포켓몬 공식 브랜드 계정(매장 개별 계정 없음)</t>
        </is>
      </c>
    </row>
    <row r="61" ht="52" customHeight="1">
      <c r="A61" s="148" t="inlineStr">
        <is>
          <t>센다이</t>
        </is>
      </c>
      <c r="B61" s="149" t="inlineStr">
        <is>
          <t>센다이역</t>
        </is>
      </c>
      <c r="C61" s="149" t="n">
        <v>3</v>
      </c>
      <c r="D61" s="50" t="inlineStr">
        <is>
          <t>晴れる屋2 仙台店 / Hareruya2 Sendai</t>
        </is>
      </c>
      <c r="E61" s="50" t="inlineStr">
        <is>
          <t>022-200-6920</t>
        </is>
      </c>
      <c r="F61" s="50" t="inlineStr">
        <is>
          <t>宮城県仙台市青葉区中央2-6-6 KOTOBUKIビル3F南</t>
        </is>
      </c>
      <c r="G61" s="50" t="inlineStr">
        <is>
          <t>평일 12:00~21:00 / 주말·공휴일 10:00~21:00 / 연중무휴</t>
        </is>
      </c>
      <c r="H61" s="50" t="inlineStr">
        <is>
          <t>포켓몬 카드 전문점으로 최신·빈티지·특가 싱글, 매입과 24석 플레이 공간 및 이벤트를 운영합니다.</t>
        </is>
      </c>
      <c r="I61" s="50">
        <f>HYPERLINK("https://www.hareruya2.com/pages/store_sendai","공식/매장 페이지")</f>
        <v/>
      </c>
      <c r="J61" s="50">
        <f>HYPERLINK("https://www.google.com/maps/search/?api=1&amp;query=%E6%99%B4%E3%82%8C%E3%82%8B%E5%B1%8B2%20%E4%BB%99%E5%8F%B0%E5%BA%97%20/%20Hareruya2%20Sendai%20%E5%AE%AE%E5%9F%8E%E7%9C%8C%E4%BB%99%E5%8F%B0%E5%B8%82%E9%9D%92%E8%91%89%E5%8C%BA%E4%B8%AD%E5%A4%AE2-6-6%20KOTOBUKI%E3%83%93%E3%83%AB3F%E5%8D%97","지도·매장사진 보기")</f>
        <v/>
      </c>
      <c r="K61" s="50">
        <f>HYPERLINK("https://www.google.com/search?tbm=isch&amp;q=%E6%99%B4%E3%82%8C%E3%82%8B%E5%B1%8B2%20%E4%BB%99%E5%8F%B0%E5%BA%97%20/%20Hareruya2%20Sendai%20%E5%AE%AE%E5%9F%8E%E7%9C%8C%E4%BB%99%E5%8F%B0%E5%B8%82%E9%9D%92%E8%91%89%E5%8C%BA%E4%B8%AD%E5%A4%AE2-6-6%20KOTOBUKI%E3%83%93%E3%83%AB3F%E5%8D%97","이미지 검색 보기")</f>
        <v/>
      </c>
      <c r="L61" s="50" t="inlineStr">
        <is>
          <t>https://www.hareruya2.com/pages/store_sendai</t>
        </is>
      </c>
      <c r="M61" s="51" t="inlineStr">
        <is>
          <t>2026-09-11</t>
        </is>
      </c>
      <c r="N61" s="178" t="inlineStr">
        <is>
          <t>@hareruya2_pokeca</t>
        </is>
      </c>
      <c r="O61" s="180" t="inlineStr">
        <is>
          <t>https://www.instagram.com/hareruya2_pokeca/</t>
        </is>
      </c>
      <c r="P61" s="180" t="inlineStr">
        <is>
          <t>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</t>
        </is>
      </c>
      <c r="Q61" s="178" t="inlineStr">
        <is>
          <t>인스타 프로필(단기 만료)</t>
        </is>
      </c>
      <c r="R61" s="178" t="n"/>
      <c r="S61" s="178" t="inlineStr">
        <is>
          <t>@hareruya2sendai</t>
        </is>
      </c>
      <c r="T61" s="178" t="n"/>
      <c r="U61" s="179" t="inlineStr">
        <is>
          <t>브랜드 공식 계정 晴れる屋2 브랜드 공식 계정(전 지점 공용)</t>
        </is>
      </c>
    </row>
    <row r="62" ht="52" customHeight="1">
      <c r="A62" s="152" t="inlineStr">
        <is>
          <t>히로시마</t>
        </is>
      </c>
      <c r="B62" s="153" t="inlineStr">
        <is>
          <t>히로시마역·오테마치</t>
        </is>
      </c>
      <c r="C62" s="153" t="n">
        <v>1</v>
      </c>
      <c r="D62" s="50" t="inlineStr">
        <is>
          <t>MINT 広島ミナモア店</t>
        </is>
      </c>
      <c r="E62" s="50" t="inlineStr">
        <is>
          <t>082-236-6636</t>
        </is>
      </c>
      <c r="F62" s="50" t="inlineStr">
        <is>
          <t>広島県広島市南区松原町2-37 ミナモア5F</t>
        </is>
      </c>
      <c r="G62" s="50" t="inlineStr">
        <is>
          <t>10:00~20:00</t>
        </is>
      </c>
      <c r="H62" s="50" t="inlineStr">
        <is>
          <t>MLB·NBA·축구 등 스포츠카드와 수집형 카드, 메모라빌리아를 중심으로 취급하는 MINT 매장입니다.</t>
        </is>
      </c>
      <c r="I62" s="50">
        <f>HYPERLINK("https://mint-web.jp/?pid=186260189","공식/매장 페이지")</f>
        <v/>
      </c>
      <c r="J62" s="50">
        <f>HYPERLINK("https://www.google.com/maps/search/?api=1&amp;query=MINT%20%E5%BA%83%E5%B3%B6%E3%83%9F%E3%83%8A%E3%83%A2%E3%82%A2%E5%BA%97%20%E5%BA%83%E5%B3%B6%E7%9C%8C%E5%BA%83%E5%B3%B6%E5%B8%82%E5%8D%97%E5%8C%BA%E6%9D%BE%E5%8E%9F%E7%94%BA2-37%20%E3%83%9F%E3%83%8A%E3%83%A2%E3%82%A25F","지도·매장사진 보기")</f>
        <v/>
      </c>
      <c r="K62" s="50">
        <f>HYPERLINK("https://www.google.com/search?tbm=isch&amp;q=MINT%20%E5%BA%83%E5%B3%B6%E3%83%9F%E3%83%8A%E3%83%A2%E3%82%A2%E5%BA%97%20%E5%BA%83%E5%B3%B6%E7%9C%8C%E5%BA%83%E5%B3%B6%E5%B8%82%E5%8D%97%E5%8C%BA%E6%9D%BE%E5%8E%9F%E7%94%BA2-37%20%E3%83%9F%E3%83%8A%E3%83%A2%E3%82%A25F","이미지 검색 보기")</f>
        <v/>
      </c>
      <c r="L62" s="50" t="inlineStr">
        <is>
          <t>https://mint-web.jp/?pid=186260189</t>
        </is>
      </c>
      <c r="M62" s="51" t="inlineStr">
        <is>
          <t>2026-09-11</t>
        </is>
      </c>
      <c r="N62" s="178" t="inlineStr">
        <is>
          <t>@mint_minamoa_hiroshima</t>
        </is>
      </c>
      <c r="O62" s="180" t="inlineStr">
        <is>
          <t>https://www.instagram.com/mint_minamoa_hiroshima/</t>
        </is>
      </c>
      <c r="P62" s="180" t="inlineStr">
        <is>
          <t>https://img07.shop-pro.jp/PA01031/426/product/186260189.jpg?cmsp_timestamp=20250702151434</t>
        </is>
      </c>
      <c r="Q62" s="178" t="inlineStr">
        <is>
          <t>공식 사이트</t>
        </is>
      </c>
      <c r="R62" s="178" t="n"/>
      <c r="S62" s="178" t="inlineStr">
        <is>
          <t>@mint_minamoa_h</t>
        </is>
      </c>
      <c r="T62" s="178" t="n"/>
      <c r="U62" s="179" t="inlineStr">
        <is>
          <t>브랜드 공식 계정 표시명이 상호와 정확히 일치(지점 전용 계정), 프로필사진/바이오는 페이지에서 추출 안됨</t>
        </is>
      </c>
    </row>
    <row r="63" ht="52" customHeight="1">
      <c r="A63" s="152" t="inlineStr">
        <is>
          <t>히로시마</t>
        </is>
      </c>
      <c r="B63" s="153" t="inlineStr">
        <is>
          <t>히로시마역·오테마치</t>
        </is>
      </c>
      <c r="C63" s="153" t="n">
        <v>2</v>
      </c>
      <c r="D63" s="50" t="inlineStr">
        <is>
          <t>ONE PIECEカードゲーム 公式ショップ 広島店</t>
        </is>
      </c>
      <c r="E63" s="50" t="str"/>
      <c r="F63" s="50" t="inlineStr">
        <is>
          <t>広島県安芸郡府中町大須2-1-1 イオンモール広島府中3F</t>
        </is>
      </c>
      <c r="G63" s="50" t="inlineStr">
        <is>
          <t>10:00~21:00 내외 (시설 기준)</t>
        </is>
      </c>
      <c r="H63" s="50" t="inlineStr">
        <is>
          <t>원피스 카드게임 공식 숍으로 신상품과 관련 카드게임 상품을 공식 매장 환경에서 구매할 수 있습니다.</t>
        </is>
      </c>
      <c r="I63" s="50" t="inlineStr">
        <is>
          <t>공식 페이지 미확인</t>
        </is>
      </c>
      <c r="J63" s="50">
        <f>HYPERLINK("https://www.google.com/maps/search/?api=1&amp;query=ONE%20PIECE%E3%82%AB%E3%83%BC%E3%83%89%E3%82%B2%E3%83%BC%E3%83%A0%20%E5%85%AC%E5%BC%8F%E3%82%B7%E3%83%A7%E3%83%83%E3%83%97%20%E5%BA%83%E5%B3%B6%E5%BA%97%20%E5%BA%83%E5%B3%B6%E7%9C%8C%E5%AE%89%E8%8A%B8%E9%83%A1%E5%BA%9C%E4%B8%AD%E7%94%BA%E5%A4%A7%E9%A0%882-1-1%20%E3%82%A4%E3%82%AA%E3%83%B3%E3%83%A2%E3%83%BC%E3%83%AB%E5%BA%83%E5%B3%B6%E5%BA%9C%E4%B8%AD3F","지도·매장사진 보기")</f>
        <v/>
      </c>
      <c r="K63" s="50">
        <f>HYPERLINK("https://www.google.com/search?tbm=isch&amp;q=ONE%20PIECE%E3%82%AB%E3%83%BC%E3%83%89%E3%82%B2%E3%83%BC%E3%83%A0%20%E5%85%AC%E5%BC%8F%E3%82%B7%E3%83%A7%E3%83%83%E3%83%97%20%E5%BA%83%E5%B3%B6%E5%BA%97%20%E5%BA%83%E5%B3%B6%E7%9C%8C%E5%AE%89%E8%8A%B8%E9%83%A1%E5%BA%9C%E4%B8%AD%E7%94%BA%E5%A4%A7%E9%A0%882-1-1%20%E3%82%A4%E3%82%AA%E3%83%B3%E3%83%A2%E3%83%BC%E3%83%AB%E5%BA%83%E5%B3%B6%E5%BA%9C%E4%B8%AD3F","이미지 검색 보기")</f>
        <v/>
      </c>
      <c r="L63" s="50" t="inlineStr">
        <is>
          <t>https://www.google.com/maps/search/?api=1&amp;query=ONE%20PIECE%E3%82%AB%E3%83%BC%E3%83%89%E3%82%B2%E3%83%BC%E3%83%A0%20%E5%85%AC%E5%BC%8F%E3%82%B7%E3%83%A7%E3%83%83%E3%83%97%20%E5%BA%83%E5%B3%B6%E5%BA%97%20%E5%BA%83%E5%B3%B6%E7%9C%8C%E5%AE%89%E8%8A%B8%E9%83%A1%E5%BA%9C%E4%B8%AD%E7%94%BA%E5%A4%A7%E9%A0%882-1-1%20%E3%82%A4%E3%82%AA%E3%83%B3%E3%83%A2%E3%83%BC%E3%83%AB%E5%BA%83%E5%B3%B6%E5%BA%9C%E4%B8%AD3F</t>
        </is>
      </c>
      <c r="M63" s="51" t="inlineStr">
        <is>
          <t>2026-09-11</t>
        </is>
      </c>
      <c r="N63" s="178" t="inlineStr">
        <is>
          <t>없음</t>
        </is>
      </c>
      <c r="O63" s="178" t="n"/>
      <c r="P63" s="178" t="n"/>
      <c r="Q63" s="178" t="n"/>
      <c r="R63" s="178" t="n"/>
      <c r="S63" s="178" t="inlineStr">
        <is>
          <t>@ONEPIECE_tcg</t>
        </is>
      </c>
      <c r="T63" s="178" t="n"/>
      <c r="U63" s="179" t="n"/>
    </row>
    <row r="64" ht="52" customHeight="1">
      <c r="A64" s="152" t="inlineStr">
        <is>
          <t>히로시마</t>
        </is>
      </c>
      <c r="B64" s="153" t="inlineStr">
        <is>
          <t>히로시마역·오테마치</t>
        </is>
      </c>
      <c r="C64" s="153" t="n">
        <v>3</v>
      </c>
      <c r="D64" s="50" t="inlineStr">
        <is>
          <t>カードラボ 広島店 / Card Labo Hiroshima</t>
        </is>
      </c>
      <c r="E64" s="50" t="inlineStr">
        <is>
          <t>082-259-3919</t>
        </is>
      </c>
      <c r="F64" s="50" t="inlineStr">
        <is>
          <t>広島県広島市中区大手町2-3-1 アニメイトビル3F</t>
        </is>
      </c>
      <c r="G64" s="50" t="inlineStr">
        <is>
          <t>평일 11:00~20:00 / 주말·공휴일 10:00~20:00</t>
        </is>
      </c>
      <c r="H64" s="50" t="inlineStr">
        <is>
          <t>히로시마 중심가의 멀티 TCG 체인점으로 카드 판매·매입과 다양한 게임의 이벤트를 운영합니다.</t>
        </is>
      </c>
      <c r="I64" s="50">
        <f>HYPERLINK("https://www.c-labo.jp/shop/hiroshima/","공식/매장 페이지")</f>
        <v/>
      </c>
      <c r="J64" s="50">
        <f>HYPERLINK("https://www.google.com/maps/search/?api=1&amp;query=%E3%82%AB%E3%83%BC%E3%83%89%E3%83%A9%E3%83%9C%20%E5%BA%83%E5%B3%B6%E5%BA%97%20/%20Card%20Labo%20Hiroshima%20%E5%BA%83%E5%B3%B6%E7%9C%8C%E5%BA%83%E5%B3%B6%E5%B8%82%E4%B8%AD%E5%8C%BA%E5%A4%A7%E6%89%8B%E7%94%BA2-3-1%20%E3%82%A2%E3%83%8B%E3%83%A1%E3%82%A4%E3%83%88%E3%83%93%E3%83%AB3F","지도·매장사진 보기")</f>
        <v/>
      </c>
      <c r="K64" s="50">
        <f>HYPERLINK("https://www.google.com/search?tbm=isch&amp;q=%E3%82%AB%E3%83%BC%E3%83%89%E3%83%A9%E3%83%9C%20%E5%BA%83%E5%B3%B6%E5%BA%97%20/%20Card%20Labo%20Hiroshima%20%E5%BA%83%E5%B3%B6%E7%9C%8C%E5%BA%83%E5%B3%B6%E5%B8%82%E4%B8%AD%E5%8C%BA%E5%A4%A7%E6%89%8B%E7%94%BA2-3-1%20%E3%82%A2%E3%83%8B%E3%83%A1%E3%82%A4%E3%83%88%E3%83%93%E3%83%AB3F","이미지 검색 보기")</f>
        <v/>
      </c>
      <c r="L64" s="50" t="inlineStr">
        <is>
          <t>https://www.c-labo.jp/shop/hiroshima/</t>
        </is>
      </c>
      <c r="M64" s="51" t="inlineStr">
        <is>
          <t>2026-09-11</t>
        </is>
      </c>
      <c r="N64" s="178" t="inlineStr">
        <is>
          <t>없음</t>
        </is>
      </c>
      <c r="O64" s="178" t="n"/>
      <c r="P64" s="180" t="inlineStr">
        <is>
          <t>https://www.c-labo.jp/wordpress/wp-content/uploads/2017/02/c176bc6089f56de74ebd9fd10a975209.jpg</t>
        </is>
      </c>
      <c r="Q64" s="178" t="inlineStr">
        <is>
          <t>공식 사이트</t>
        </is>
      </c>
      <c r="R64" s="178" t="n"/>
      <c r="S64" s="178" t="inlineStr">
        <is>
          <t>@hiroshimalabo</t>
        </is>
      </c>
      <c r="T64" s="178" t="n"/>
      <c r="U64" s="179" t="n"/>
    </row>
    <row r="65" ht="52" customHeight="1">
      <c r="A65" s="156" t="inlineStr">
        <is>
          <t>고베</t>
        </is>
      </c>
      <c r="B65" s="157" t="inlineStr">
        <is>
          <t>산노미야</t>
        </is>
      </c>
      <c r="C65" s="157" t="n">
        <v>1</v>
      </c>
      <c r="D65" s="50" t="inlineStr">
        <is>
          <t>MINT 三宮店 / MINT Sannomiya</t>
        </is>
      </c>
      <c r="E65" s="50" t="inlineStr">
        <is>
          <t>078-599-7996</t>
        </is>
      </c>
      <c r="F65" s="50" t="inlineStr">
        <is>
          <t>兵庫県神戸市中央区三宮町1-5-10 三宮OPA別館</t>
        </is>
      </c>
      <c r="G65" s="50" t="inlineStr">
        <is>
          <t>평일 12:00~21:00 / 주말·공휴일 11:00~21:00</t>
        </is>
      </c>
      <c r="H65" s="50" t="inlineStr">
        <is>
          <t>스포츠카드와 다양한 트레이딩 카드 상품을 함께 취급하는 산노미야 MINT 지점입니다.</t>
        </is>
      </c>
      <c r="I65" s="50">
        <f>HYPERLINK("https://mint-web.jp/","공식/매장 페이지")</f>
        <v/>
      </c>
      <c r="J65" s="50">
        <f>HYPERLINK("https://www.google.com/maps/search/?api=1&amp;query=MINT%20%E4%B8%89%E5%AE%AE%E5%BA%97%20/%20MINT%20Sannomiya%20%E5%85%B5%E5%BA%AB%E7%9C%8C%E7%A5%9E%E6%88%B8%E5%B8%82%E4%B8%AD%E5%A4%AE%E5%8C%BA%E4%B8%89%E5%AE%AE%E7%94%BA1-5-10%20%E4%B8%89%E5%AE%AEOPA%E5%88%A5%E9%A4%A8","지도·매장사진 보기")</f>
        <v/>
      </c>
      <c r="K65" s="50">
        <f>HYPERLINK("https://www.google.com/search?tbm=isch&amp;q=MINT%20%E4%B8%89%E5%AE%AE%E5%BA%97%20/%20MINT%20Sannomiya%20%E5%85%B5%E5%BA%AB%E7%9C%8C%E7%A5%9E%E6%88%B8%E5%B8%82%E4%B8%AD%E5%A4%AE%E5%8C%BA%E4%B8%89%E5%AE%AE%E7%94%BA1-5-10%20%E4%B8%89%E5%AE%AEOPA%E5%88%A5%E9%A4%A8","이미지 검색 보기")</f>
        <v/>
      </c>
      <c r="L65" s="50" t="inlineStr">
        <is>
          <t>https://mint-web.jp/</t>
        </is>
      </c>
      <c r="M65" s="51" t="inlineStr">
        <is>
          <t>2026-09-11</t>
        </is>
      </c>
      <c r="N65" s="178" t="inlineStr">
        <is>
          <t>@mintcardjapan</t>
        </is>
      </c>
      <c r="O65" s="180" t="inlineStr">
        <is>
          <t>https://www.instagram.com/mintcardjapan/</t>
        </is>
      </c>
      <c r="P65" s="180" t="inlineStr">
        <is>
          <t>https://scontent-icn2-1.cdninstagram.com/v/t51.82787-19/604740660_18059372816642657_3350166706630106538_n.jpg?stp=dst-jpg_s150x150_tt6&amp;_nc_cat=106&amp;ccb=7-5&amp;_nc_sid=f7ccc5&amp;efg=eyJ2ZW5jb2RlX3RhZyI6InByb2ZpbGVfcGljLnd3dy40MDAuQzMifQ%3D%3D&amp;_nc_ohc=7kNCEvzHHZ0Q7kNvwH0X5jm&amp;_nc_oc=AdqnWFt3A1Czngb6c4p3Ci0hbtbJ2W7qHvoJs52tn-b3OjjDI8m7yEK4RaQbJM0NU-E&amp;_nc_zt=24&amp;_nc_ht=scontent-icn2-1.cdninstagram.com&amp;_nc_gid=gARWiqER6H87eYbxdJW3WQ&amp;_nc_ss=7fa02&amp;oh=00_AQK7roYcWw-fa3sBdcNy6lUAX9OTzU6PXvQONlnqAB6KwQ&amp;oe=6AAA0A2B</t>
        </is>
      </c>
      <c r="Q65" s="178" t="inlineStr">
        <is>
          <t>인스타 프로필(단기 만료)</t>
        </is>
      </c>
      <c r="R65" s="178" t="n"/>
      <c r="S65" s="178" t="inlineStr">
        <is>
          <t>@mint_shibuya</t>
        </is>
      </c>
      <c r="T65" s="178" t="n"/>
      <c r="U65" s="179" t="inlineStr">
        <is>
          <t>브랜드 공식 계정 1번 후보는 동명 상업몰(고베 미나토미라이 ミント神戸)이라 거절, MINT 트레카 브랜드 공식 계정으로 대체</t>
        </is>
      </c>
    </row>
    <row r="66" ht="52" customHeight="1">
      <c r="A66" s="156" t="inlineStr">
        <is>
          <t>고베</t>
        </is>
      </c>
      <c r="B66" s="157" t="inlineStr">
        <is>
          <t>산노미야</t>
        </is>
      </c>
      <c r="C66" s="157" t="n">
        <v>2</v>
      </c>
      <c r="D66" s="50" t="inlineStr">
        <is>
          <t>ドラゴンスター神戸三宮店 / Dragon Star Kobe Sannomiya</t>
        </is>
      </c>
      <c r="E66" s="50" t="inlineStr">
        <is>
          <t>078-599-6080</t>
        </is>
      </c>
      <c r="F66" s="50" t="inlineStr">
        <is>
          <t>兵庫県神戸市中央区三宮町1-8-1 さんプラザ3F</t>
        </is>
      </c>
      <c r="G66" s="50" t="inlineStr">
        <is>
          <t>평일 12:00~20:00 / 토 10:00~20:00 / 일·공휴일 10:00~19:30</t>
        </is>
      </c>
      <c r="H66" s="50" t="inlineStr">
        <is>
          <t>128석 듀얼 스페이스를 갖춘 멀티 TCG 대형점으로 다양한 카드게임 상품과 이벤트를 운영합니다.</t>
        </is>
      </c>
      <c r="I66" s="50">
        <f>HYPERLINK("https://dorasuta.jp/shop/detail?scd=6","공식/매장 페이지")</f>
        <v/>
      </c>
      <c r="J66" s="50">
        <f>HYPERLINK("https://www.google.com/maps/search/?api=1&amp;query=%E3%83%89%E3%83%A9%E3%82%B4%E3%83%B3%E3%82%B9%E3%82%BF%E3%83%BC%E7%A5%9E%E6%88%B8%E4%B8%89%E5%AE%AE%E5%BA%97%20/%20Dragon%20Star%20Kobe%20Sannomiya%20%E5%85%B5%E5%BA%AB%E7%9C%8C%E7%A5%9E%E6%88%B8%E5%B8%82%E4%B8%AD%E5%A4%AE%E5%8C%BA%E4%B8%89%E5%AE%AE%E7%94%BA1-8-1%20%E3%81%95%E3%82%93%E3%83%97%E3%83%A9%E3%82%B63F","지도·매장사진 보기")</f>
        <v/>
      </c>
      <c r="K66" s="50">
        <f>HYPERLINK("https://www.google.com/search?tbm=isch&amp;q=%E3%83%89%E3%83%A9%E3%82%B4%E3%83%B3%E3%82%B9%E3%82%BF%E3%83%BC%E7%A5%9E%E6%88%B8%E4%B8%89%E5%AE%AE%E5%BA%97%20/%20Dragon%20Star%20Kobe%20Sannomiya%20%E5%85%B5%E5%BA%AB%E7%9C%8C%E7%A5%9E%E6%88%B8%E5%B8%82%E4%B8%AD%E5%A4%AE%E5%8C%BA%E4%B8%89%E5%AE%AE%E7%94%BA1-8-1%20%E3%81%95%E3%82%93%E3%83%97%E3%83%A9%E3%82%B63F","이미지 검색 보기")</f>
        <v/>
      </c>
      <c r="L66" s="50" t="inlineStr">
        <is>
          <t>https://dorasuta.jp/shop/detail?scd=6</t>
        </is>
      </c>
      <c r="M66" s="51" t="inlineStr">
        <is>
          <t>2026-09-11</t>
        </is>
      </c>
      <c r="N66" s="178" t="inlineStr">
        <is>
          <t>@dorasutagram</t>
        </is>
      </c>
      <c r="O66" s="180" t="inlineStr">
        <is>
          <t>https://www.instagram.com/dorasutagram/</t>
        </is>
      </c>
      <c r="P66" s="180" t="inlineStr">
        <is>
          <t>https://scontent-icn2-1.cdninstagram.com/v/t51.2885-19/254500530_2169236193232209_1218375009411615545_n.jpg?stp=dst-jpg_s150x150_tt6&amp;_nc_cat=105&amp;ccb=7-5&amp;_nc_sid=f7ccc5&amp;efg=eyJ2ZW5jb2RlX3RhZyI6InByb2ZpbGVfcGljLnd3dy43NTYuQzMifQ%3D%3D&amp;_nc_ohc=xp-gt6Ohl74Q7kNvwHdo7xg&amp;_nc_oc=Adotp8f0urkbmBDGbBTZPKh-3HYm5MDL09SauYr490vFZxngTZDaUkML0fsR5eI2jZM&amp;_nc_zt=24&amp;_nc_ht=scontent-icn2-1.cdninstagram.com&amp;_nc_ss=7fa02&amp;oh=00_AQK_9uRV0leFJTBKR7mKKCsS_A4KgiCd00jilCtqC9UAtw&amp;oe=6AAA1060</t>
        </is>
      </c>
      <c r="Q66" s="178" t="inlineStr">
        <is>
          <t>인스타 프로필(단기 만료)</t>
        </is>
      </c>
      <c r="R66" s="178" t="n"/>
      <c r="S66" s="178" t="n"/>
      <c r="T66" s="178" t="n"/>
      <c r="U66" s="179" t="inlineStr">
        <is>
          <t>브랜드 공식 계정 ドラゴンスター 브랜드 공식 계정(전 지점 공용)</t>
        </is>
      </c>
    </row>
    <row r="67" ht="52" customHeight="1">
      <c r="A67" s="160" t="inlineStr">
        <is>
          <t>고베</t>
        </is>
      </c>
      <c r="B67" s="161" t="inlineStr">
        <is>
          <t>산노미야</t>
        </is>
      </c>
      <c r="C67" s="161" t="n">
        <v>3</v>
      </c>
      <c r="D67" s="53" t="inlineStr">
        <is>
          <t>晴れる屋2 三宮店 / Hareruya2 Sannomiya</t>
        </is>
      </c>
      <c r="E67" s="53" t="inlineStr">
        <is>
          <t>078-954-7878</t>
        </is>
      </c>
      <c r="F67" s="53" t="inlineStr">
        <is>
          <t>兵庫県神戸市中央区三宮町1-9-1 センタープラザ2F 44号</t>
        </is>
      </c>
      <c r="G67" s="53" t="inlineStr">
        <is>
          <t>평일 12:00~21:00 / 주말·공휴일 10:00~21:00 / 연중무휴</t>
        </is>
      </c>
      <c r="H67" s="53" t="inlineStr">
        <is>
          <t>68석 플레이 공간을 갖춘 포켓몬 카드 전문 대형 매장으로 판매·매입·이벤트를 함께 운영합니다.</t>
        </is>
      </c>
      <c r="I67" s="53">
        <f>HYPERLINK("https://www.hareruya2.com/pages/store_sannomiya-en","공식/매장 페이지")</f>
        <v/>
      </c>
      <c r="J67" s="53">
        <f>HYPERLINK("https://www.google.com/maps/search/?api=1&amp;query=%E6%99%B4%E3%82%8C%E3%82%8B%E5%B1%8B2%20%E4%B8%89%E5%AE%AE%E5%BA%97%20/%20Hareruya2%20Sannomiya%20%E5%85%B5%E5%BA%AB%E7%9C%8C%E7%A5%9E%E6%88%B8%E5%B8%82%E4%B8%AD%E5%A4%AE%E5%8C%BA%E4%B8%89%E5%AE%AE%E7%94%BA1-9-1%20%E3%82%BB%E3%83%B3%E3%82%BF%E3%83%BC%E3%83%97%E3%83%A9%E3%82%B62F%2044%E5%8F%B7","지도·매장사진 보기")</f>
        <v/>
      </c>
      <c r="K67" s="53">
        <f>HYPERLINK("https://www.google.com/search?tbm=isch&amp;q=%E6%99%B4%E3%82%8C%E3%82%8B%E5%B1%8B2%20%E4%B8%89%E5%AE%AE%E5%BA%97%20/%20Hareruya2%20Sannomiya%20%E5%85%B5%E5%BA%AB%E7%9C%8C%E7%A5%9E%E6%88%B8%E5%B8%82%E4%B8%AD%E5%A4%AE%E5%8C%BA%E4%B8%89%E5%AE%AE%E7%94%BA1-9-1%20%E3%82%BB%E3%83%B3%E3%82%BF%E3%83%BC%E3%83%97%E3%83%A9%E3%82%B62F%2044%E5%8F%B7","이미지 검색 보기")</f>
        <v/>
      </c>
      <c r="L67" s="53" t="inlineStr">
        <is>
          <t>https://www.hareruya2.com/pages/store_sannomiya-en</t>
        </is>
      </c>
      <c r="M67" s="54" t="inlineStr">
        <is>
          <t>2026-09-11</t>
        </is>
      </c>
      <c r="N67" s="178" t="inlineStr">
        <is>
          <t>@hareruya2_pokeca</t>
        </is>
      </c>
      <c r="O67" s="180" t="inlineStr">
        <is>
          <t>https://www.instagram.com/hareruya2_pokeca/</t>
        </is>
      </c>
      <c r="P67" s="180" t="inlineStr">
        <is>
          <t>https://scontent-icn2-1.cdninstagram.com/v/t51.2885-19/309447477_5776110002452355_8035051096901770384_n.jpg?stp=dst-jpg_s150x150_tt6&amp;_nc_cat=108&amp;ccb=7-5&amp;_nc_sid=f7ccc5&amp;efg=eyJ2ZW5jb2RlX3RhZyI6InByb2ZpbGVfcGljLnd3dy4xMDAwLkMzIn0%3D&amp;_nc_ohc=ofjN7V1G6LQQ7kNvwFs4g0i&amp;_nc_oc=AdqDEK0i6u15GmgKXjitQHTMyQbQgIZGeTXdDX9uqte7483mUdvwAhb46cHd-6resFM&amp;_nc_zt=24&amp;_nc_ht=scontent-icn2-1.cdninstagram.com&amp;_nc_ss=7fa02&amp;oh=00_AQJtSGhFfuLKG9TvLKDgAzApF81t3mhHlfjZ1k2g2a4IFg&amp;oe=6AAA0FAB</t>
        </is>
      </c>
      <c r="Q67" s="178" t="inlineStr">
        <is>
          <t>인스타 프로필(단기 만료)</t>
        </is>
      </c>
      <c r="R67" s="178" t="n"/>
      <c r="S67" s="178" t="inlineStr">
        <is>
          <t>@hareruya2snnmy</t>
        </is>
      </c>
      <c r="T67" s="178" t="n"/>
      <c r="U67" s="179" t="inlineStr">
        <is>
          <t>브랜드 공식 계정 晴れる屋2 브랜드 공식 계정(전 지점 공용)</t>
        </is>
      </c>
    </row>
  </sheetData>
  <mergeCells count="2">
    <mergeCell ref="A2:M2"/>
    <mergeCell ref="A1:M1"/>
  </mergeCells>
  <hyperlinks>
    <hyperlink xmlns:r="http://schemas.openxmlformats.org/officeDocument/2006/relationships" ref="O5" r:id="rId1"/>
    <hyperlink xmlns:r="http://schemas.openxmlformats.org/officeDocument/2006/relationships" ref="P5" r:id="rId2"/>
    <hyperlink xmlns:r="http://schemas.openxmlformats.org/officeDocument/2006/relationships" ref="O6" r:id="rId3"/>
    <hyperlink xmlns:r="http://schemas.openxmlformats.org/officeDocument/2006/relationships" ref="P6" r:id="rId4"/>
    <hyperlink xmlns:r="http://schemas.openxmlformats.org/officeDocument/2006/relationships" ref="O7" r:id="rId5"/>
    <hyperlink xmlns:r="http://schemas.openxmlformats.org/officeDocument/2006/relationships" ref="P7" r:id="rId6"/>
    <hyperlink xmlns:r="http://schemas.openxmlformats.org/officeDocument/2006/relationships" ref="O8" r:id="rId7"/>
    <hyperlink xmlns:r="http://schemas.openxmlformats.org/officeDocument/2006/relationships" ref="P8" r:id="rId8"/>
    <hyperlink xmlns:r="http://schemas.openxmlformats.org/officeDocument/2006/relationships" ref="O11" r:id="rId9"/>
    <hyperlink xmlns:r="http://schemas.openxmlformats.org/officeDocument/2006/relationships" ref="P11" r:id="rId10"/>
    <hyperlink xmlns:r="http://schemas.openxmlformats.org/officeDocument/2006/relationships" ref="O12" r:id="rId11"/>
    <hyperlink xmlns:r="http://schemas.openxmlformats.org/officeDocument/2006/relationships" ref="P12" r:id="rId12"/>
    <hyperlink xmlns:r="http://schemas.openxmlformats.org/officeDocument/2006/relationships" ref="O13" r:id="rId13"/>
    <hyperlink xmlns:r="http://schemas.openxmlformats.org/officeDocument/2006/relationships" ref="P13" r:id="rId14"/>
    <hyperlink xmlns:r="http://schemas.openxmlformats.org/officeDocument/2006/relationships" ref="R13" r:id="rId15"/>
    <hyperlink xmlns:r="http://schemas.openxmlformats.org/officeDocument/2006/relationships" ref="O14" r:id="rId16"/>
    <hyperlink xmlns:r="http://schemas.openxmlformats.org/officeDocument/2006/relationships" ref="P14" r:id="rId17"/>
    <hyperlink xmlns:r="http://schemas.openxmlformats.org/officeDocument/2006/relationships" ref="R14" r:id="rId18"/>
    <hyperlink xmlns:r="http://schemas.openxmlformats.org/officeDocument/2006/relationships" ref="O16" r:id="rId19"/>
    <hyperlink xmlns:r="http://schemas.openxmlformats.org/officeDocument/2006/relationships" ref="P16" r:id="rId20"/>
    <hyperlink xmlns:r="http://schemas.openxmlformats.org/officeDocument/2006/relationships" ref="O18" r:id="rId21"/>
    <hyperlink xmlns:r="http://schemas.openxmlformats.org/officeDocument/2006/relationships" ref="P18" r:id="rId22"/>
    <hyperlink xmlns:r="http://schemas.openxmlformats.org/officeDocument/2006/relationships" ref="O19" r:id="rId23"/>
    <hyperlink xmlns:r="http://schemas.openxmlformats.org/officeDocument/2006/relationships" ref="P19" r:id="rId24"/>
    <hyperlink xmlns:r="http://schemas.openxmlformats.org/officeDocument/2006/relationships" ref="R19" r:id="rId25"/>
    <hyperlink xmlns:r="http://schemas.openxmlformats.org/officeDocument/2006/relationships" ref="O20" r:id="rId26"/>
    <hyperlink xmlns:r="http://schemas.openxmlformats.org/officeDocument/2006/relationships" ref="P20" r:id="rId27"/>
    <hyperlink xmlns:r="http://schemas.openxmlformats.org/officeDocument/2006/relationships" ref="O22" r:id="rId28"/>
    <hyperlink xmlns:r="http://schemas.openxmlformats.org/officeDocument/2006/relationships" ref="P22" r:id="rId29"/>
    <hyperlink xmlns:r="http://schemas.openxmlformats.org/officeDocument/2006/relationships" ref="O23" r:id="rId30"/>
    <hyperlink xmlns:r="http://schemas.openxmlformats.org/officeDocument/2006/relationships" ref="P23" r:id="rId31"/>
    <hyperlink xmlns:r="http://schemas.openxmlformats.org/officeDocument/2006/relationships" ref="R23" r:id="rId32"/>
    <hyperlink xmlns:r="http://schemas.openxmlformats.org/officeDocument/2006/relationships" ref="O24" r:id="rId33"/>
    <hyperlink xmlns:r="http://schemas.openxmlformats.org/officeDocument/2006/relationships" ref="P24" r:id="rId34"/>
    <hyperlink xmlns:r="http://schemas.openxmlformats.org/officeDocument/2006/relationships" ref="O26" r:id="rId35"/>
    <hyperlink xmlns:r="http://schemas.openxmlformats.org/officeDocument/2006/relationships" ref="P26" r:id="rId36"/>
    <hyperlink xmlns:r="http://schemas.openxmlformats.org/officeDocument/2006/relationships" ref="P27" r:id="rId37"/>
    <hyperlink xmlns:r="http://schemas.openxmlformats.org/officeDocument/2006/relationships" ref="O28" r:id="rId38"/>
    <hyperlink xmlns:r="http://schemas.openxmlformats.org/officeDocument/2006/relationships" ref="P28" r:id="rId39"/>
    <hyperlink xmlns:r="http://schemas.openxmlformats.org/officeDocument/2006/relationships" ref="O29" r:id="rId40"/>
    <hyperlink xmlns:r="http://schemas.openxmlformats.org/officeDocument/2006/relationships" ref="P29" r:id="rId41"/>
    <hyperlink xmlns:r="http://schemas.openxmlformats.org/officeDocument/2006/relationships" ref="O30" r:id="rId42"/>
    <hyperlink xmlns:r="http://schemas.openxmlformats.org/officeDocument/2006/relationships" ref="P30" r:id="rId43"/>
    <hyperlink xmlns:r="http://schemas.openxmlformats.org/officeDocument/2006/relationships" ref="O31" r:id="rId44"/>
    <hyperlink xmlns:r="http://schemas.openxmlformats.org/officeDocument/2006/relationships" ref="P31" r:id="rId45"/>
    <hyperlink xmlns:r="http://schemas.openxmlformats.org/officeDocument/2006/relationships" ref="O32" r:id="rId46"/>
    <hyperlink xmlns:r="http://schemas.openxmlformats.org/officeDocument/2006/relationships" ref="P32" r:id="rId47"/>
    <hyperlink xmlns:r="http://schemas.openxmlformats.org/officeDocument/2006/relationships" ref="R32" r:id="rId48"/>
    <hyperlink xmlns:r="http://schemas.openxmlformats.org/officeDocument/2006/relationships" ref="O33" r:id="rId49"/>
    <hyperlink xmlns:r="http://schemas.openxmlformats.org/officeDocument/2006/relationships" ref="P33" r:id="rId50"/>
    <hyperlink xmlns:r="http://schemas.openxmlformats.org/officeDocument/2006/relationships" ref="O34" r:id="rId51"/>
    <hyperlink xmlns:r="http://schemas.openxmlformats.org/officeDocument/2006/relationships" ref="P34" r:id="rId52"/>
    <hyperlink xmlns:r="http://schemas.openxmlformats.org/officeDocument/2006/relationships" ref="R34" r:id="rId53"/>
    <hyperlink xmlns:r="http://schemas.openxmlformats.org/officeDocument/2006/relationships" ref="O35" r:id="rId54"/>
    <hyperlink xmlns:r="http://schemas.openxmlformats.org/officeDocument/2006/relationships" ref="P35" r:id="rId55"/>
    <hyperlink xmlns:r="http://schemas.openxmlformats.org/officeDocument/2006/relationships" ref="R35" r:id="rId56"/>
    <hyperlink xmlns:r="http://schemas.openxmlformats.org/officeDocument/2006/relationships" ref="P36" r:id="rId57"/>
    <hyperlink xmlns:r="http://schemas.openxmlformats.org/officeDocument/2006/relationships" ref="O37" r:id="rId58"/>
    <hyperlink xmlns:r="http://schemas.openxmlformats.org/officeDocument/2006/relationships" ref="P37" r:id="rId59"/>
    <hyperlink xmlns:r="http://schemas.openxmlformats.org/officeDocument/2006/relationships" ref="R37" r:id="rId60"/>
    <hyperlink xmlns:r="http://schemas.openxmlformats.org/officeDocument/2006/relationships" ref="O38" r:id="rId61"/>
    <hyperlink xmlns:r="http://schemas.openxmlformats.org/officeDocument/2006/relationships" ref="P38" r:id="rId62"/>
    <hyperlink xmlns:r="http://schemas.openxmlformats.org/officeDocument/2006/relationships" ref="O40" r:id="rId63"/>
    <hyperlink xmlns:r="http://schemas.openxmlformats.org/officeDocument/2006/relationships" ref="P40" r:id="rId64"/>
    <hyperlink xmlns:r="http://schemas.openxmlformats.org/officeDocument/2006/relationships" ref="P41" r:id="rId65"/>
    <hyperlink xmlns:r="http://schemas.openxmlformats.org/officeDocument/2006/relationships" ref="P44" r:id="rId66"/>
    <hyperlink xmlns:r="http://schemas.openxmlformats.org/officeDocument/2006/relationships" ref="O45" r:id="rId67"/>
    <hyperlink xmlns:r="http://schemas.openxmlformats.org/officeDocument/2006/relationships" ref="P45" r:id="rId68"/>
    <hyperlink xmlns:r="http://schemas.openxmlformats.org/officeDocument/2006/relationships" ref="R45" r:id="rId69"/>
    <hyperlink xmlns:r="http://schemas.openxmlformats.org/officeDocument/2006/relationships" ref="P46" r:id="rId70"/>
    <hyperlink xmlns:r="http://schemas.openxmlformats.org/officeDocument/2006/relationships" ref="O47" r:id="rId71"/>
    <hyperlink xmlns:r="http://schemas.openxmlformats.org/officeDocument/2006/relationships" ref="P47" r:id="rId72"/>
    <hyperlink xmlns:r="http://schemas.openxmlformats.org/officeDocument/2006/relationships" ref="O48" r:id="rId73"/>
    <hyperlink xmlns:r="http://schemas.openxmlformats.org/officeDocument/2006/relationships" ref="P48" r:id="rId74"/>
    <hyperlink xmlns:r="http://schemas.openxmlformats.org/officeDocument/2006/relationships" ref="O49" r:id="rId75"/>
    <hyperlink xmlns:r="http://schemas.openxmlformats.org/officeDocument/2006/relationships" ref="P49" r:id="rId76"/>
    <hyperlink xmlns:r="http://schemas.openxmlformats.org/officeDocument/2006/relationships" ref="R49" r:id="rId77"/>
    <hyperlink xmlns:r="http://schemas.openxmlformats.org/officeDocument/2006/relationships" ref="O50" r:id="rId78"/>
    <hyperlink xmlns:r="http://schemas.openxmlformats.org/officeDocument/2006/relationships" ref="P50" r:id="rId79"/>
    <hyperlink xmlns:r="http://schemas.openxmlformats.org/officeDocument/2006/relationships" ref="O51" r:id="rId80"/>
    <hyperlink xmlns:r="http://schemas.openxmlformats.org/officeDocument/2006/relationships" ref="P51" r:id="rId81"/>
    <hyperlink xmlns:r="http://schemas.openxmlformats.org/officeDocument/2006/relationships" ref="P53" r:id="rId82"/>
    <hyperlink xmlns:r="http://schemas.openxmlformats.org/officeDocument/2006/relationships" ref="O54" r:id="rId83"/>
    <hyperlink xmlns:r="http://schemas.openxmlformats.org/officeDocument/2006/relationships" ref="P54" r:id="rId84"/>
    <hyperlink xmlns:r="http://schemas.openxmlformats.org/officeDocument/2006/relationships" ref="O55" r:id="rId85"/>
    <hyperlink xmlns:r="http://schemas.openxmlformats.org/officeDocument/2006/relationships" ref="P55" r:id="rId86"/>
    <hyperlink xmlns:r="http://schemas.openxmlformats.org/officeDocument/2006/relationships" ref="P56" r:id="rId87"/>
    <hyperlink xmlns:r="http://schemas.openxmlformats.org/officeDocument/2006/relationships" ref="O58" r:id="rId88"/>
    <hyperlink xmlns:r="http://schemas.openxmlformats.org/officeDocument/2006/relationships" ref="P58" r:id="rId89"/>
    <hyperlink xmlns:r="http://schemas.openxmlformats.org/officeDocument/2006/relationships" ref="O59" r:id="rId90"/>
    <hyperlink xmlns:r="http://schemas.openxmlformats.org/officeDocument/2006/relationships" ref="P59" r:id="rId91"/>
    <hyperlink xmlns:r="http://schemas.openxmlformats.org/officeDocument/2006/relationships" ref="O60" r:id="rId92"/>
    <hyperlink xmlns:r="http://schemas.openxmlformats.org/officeDocument/2006/relationships" ref="P60" r:id="rId93"/>
    <hyperlink xmlns:r="http://schemas.openxmlformats.org/officeDocument/2006/relationships" ref="O61" r:id="rId94"/>
    <hyperlink xmlns:r="http://schemas.openxmlformats.org/officeDocument/2006/relationships" ref="P61" r:id="rId95"/>
    <hyperlink xmlns:r="http://schemas.openxmlformats.org/officeDocument/2006/relationships" ref="O62" r:id="rId96"/>
    <hyperlink xmlns:r="http://schemas.openxmlformats.org/officeDocument/2006/relationships" ref="P62" r:id="rId97"/>
    <hyperlink xmlns:r="http://schemas.openxmlformats.org/officeDocument/2006/relationships" ref="P64" r:id="rId98"/>
    <hyperlink xmlns:r="http://schemas.openxmlformats.org/officeDocument/2006/relationships" ref="O65" r:id="rId99"/>
    <hyperlink xmlns:r="http://schemas.openxmlformats.org/officeDocument/2006/relationships" ref="P65" r:id="rId100"/>
    <hyperlink xmlns:r="http://schemas.openxmlformats.org/officeDocument/2006/relationships" ref="O66" r:id="rId101"/>
    <hyperlink xmlns:r="http://schemas.openxmlformats.org/officeDocument/2006/relationships" ref="P66" r:id="rId102"/>
    <hyperlink xmlns:r="http://schemas.openxmlformats.org/officeDocument/2006/relationships" ref="O67" r:id="rId103"/>
    <hyperlink xmlns:r="http://schemas.openxmlformats.org/officeDocument/2006/relationships" ref="P67" r:id="rId104"/>
  </hyperlinks>
  <pageMargins left="0.7" right="0.7" top="0.75" bottom="0.75" header="0.3" footer="0.3"/>
  <tableParts count="1">
    <tablePart xmlns:r="http://schemas.openxmlformats.org/officeDocument/2006/relationships" r:id="rId105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</cols>
  <sheetData>
    <row r="1">
      <c r="A1" s="7" t="inlineStr">
        <is>
          <t>ARVO 카드샵 DB · 사용 안내 / 출처</t>
        </is>
      </c>
      <c r="B1" s="1" t="n"/>
      <c r="C1" s="1" t="n"/>
      <c r="D1" s="1" t="n"/>
      <c r="E1" s="1" t="n"/>
      <c r="F1" s="1" t="n"/>
    </row>
    <row r="3" ht="34" customHeight="1">
      <c r="A3" s="165" t="inlineStr">
        <is>
          <t>항목</t>
        </is>
      </c>
      <c r="B3" s="165" t="inlineStr">
        <is>
          <t>내용</t>
        </is>
      </c>
    </row>
    <row r="4" ht="34" customHeight="1">
      <c r="A4" s="170" t="inlineStr">
        <is>
          <t>한국 데이터</t>
        </is>
      </c>
      <c r="B4" s="170" t="inlineStr">
        <is>
          <t>총 102개 매장. 기존 전국 카드샵 조사본을 지역/상권별로 재분류.</t>
        </is>
      </c>
    </row>
    <row r="5" ht="34" customHeight="1">
      <c r="A5" s="170" t="inlineStr">
        <is>
          <t>서울 정렬</t>
        </is>
      </c>
      <c r="B5" s="170" t="inlineStr">
        <is>
          <t>01 강남 → 02 성수·건대 → 03 홍대·신촌 … 순서. 카드스토리를 전체 첫 행으로 고정.</t>
        </is>
      </c>
    </row>
    <row r="6" ht="34" customHeight="1">
      <c r="A6" s="170" t="inlineStr">
        <is>
          <t>카드스토리</t>
        </is>
      </c>
      <c r="B6" s="170" t="inlineStr">
        <is>
          <t>전화번호 공란 처리. 운영시간은 월 휴무 / 화~일 14:00~21:00. 소개문 수정 완료.</t>
        </is>
      </c>
    </row>
    <row r="7" ht="34" customHeight="1">
      <c r="A7" s="170" t="inlineStr">
        <is>
          <t>영업시간</t>
        </is>
      </c>
      <c r="B7" s="170" t="inlineStr">
        <is>
          <t>공식 홈페이지·공개 매장 정보에서 확인되는 곳만 기재. 변동 가능성이 있으므로 앱에는 '최근 확인일' 병기 권장.</t>
        </is>
      </c>
    </row>
    <row r="8" ht="34" customHeight="1">
      <c r="A8" s="170" t="inlineStr">
        <is>
          <t>일본 데이터</t>
        </is>
      </c>
      <c r="B8" s="170" t="inlineStr">
        <is>
          <t>총 63개 매장. 도쿄·오사카·후쿠오카·나고야·요코하마·교토·삿포로·센다이·히로시마·고베 중심.</t>
        </is>
      </c>
    </row>
    <row r="9" ht="34" customHeight="1">
      <c r="A9" s="170" t="inlineStr">
        <is>
          <t>사진</t>
        </is>
      </c>
      <c r="B9" s="170" t="inlineStr">
        <is>
          <t>일본 매장은 사진 자체를 복제하지 않고 공식 페이지 / Google Maps / Google 이미지 검색 링크 3종을 제공.</t>
        </is>
      </c>
    </row>
    <row r="10" ht="34" customHeight="1">
      <c r="A10" s="170" t="inlineStr">
        <is>
          <t>소개문</t>
        </is>
      </c>
      <c r="B10" s="170" t="inlineStr">
        <is>
          <t>공식 매장 설명과 공개 검색을 참고해 ARVO용 한 줄 소개로 재작성.</t>
        </is>
      </c>
    </row>
    <row r="12">
      <c r="A12" s="177" t="inlineStr">
        <is>
          <t>주요 공개 출처</t>
        </is>
      </c>
      <c r="B12" s="1" t="n"/>
      <c r="C12" s="1" t="n"/>
      <c r="D12" s="1" t="n"/>
      <c r="E12" s="1" t="n"/>
      <c r="F12" s="1" t="n"/>
    </row>
    <row r="13">
      <c r="A13" s="41" t="inlineStr">
        <is>
          <t>한국</t>
        </is>
      </c>
      <c r="B13" s="41" t="inlineStr">
        <is>
          <t>HOBBY KOREA</t>
        </is>
      </c>
      <c r="C13" s="41" t="inlineStr">
        <is>
          <t>https://www.hobbykoreaglobal.com/Company</t>
        </is>
      </c>
    </row>
    <row r="14">
      <c r="A14" s="41" t="inlineStr">
        <is>
          <t>한국</t>
        </is>
      </c>
      <c r="B14" s="41" t="inlineStr">
        <is>
          <t>카드킹덤 마린포드</t>
        </is>
      </c>
      <c r="C14" s="41" t="inlineStr">
        <is>
          <t>https://www.marineford.link/shopInfo/</t>
        </is>
      </c>
    </row>
    <row r="15">
      <c r="A15" s="41" t="inlineStr">
        <is>
          <t>한국</t>
        </is>
      </c>
      <c r="B15" s="41" t="inlineStr">
        <is>
          <t>포켓몬 카드샵 용산</t>
        </is>
      </c>
      <c r="C15" s="41" t="inlineStr">
        <is>
          <t>https://gw.iparkmall.co.kr/shop/store/dtl.do?chnlNo=002766</t>
        </is>
      </c>
    </row>
    <row r="16">
      <c r="A16" s="41" t="inlineStr">
        <is>
          <t>한국</t>
        </is>
      </c>
      <c r="B16" s="41" t="inlineStr">
        <is>
          <t>ONE PIECE 카드게임 공식 이벤트</t>
        </is>
      </c>
      <c r="C16" s="41" t="inlineStr">
        <is>
          <t>https://www.onepiece-cardgame.kr/events/</t>
        </is>
      </c>
    </row>
    <row r="17">
      <c r="A17" s="41" t="inlineStr">
        <is>
          <t>일본</t>
        </is>
      </c>
      <c r="B17" s="41" t="inlineStr">
        <is>
          <t>Hareruya2 Store Menu</t>
        </is>
      </c>
      <c r="C17" s="41" t="inlineStr">
        <is>
          <t>https://www.hareruya2.com/pages/store_menu-en</t>
        </is>
      </c>
    </row>
    <row r="18">
      <c r="A18" s="41" t="inlineStr">
        <is>
          <t>일본</t>
        </is>
      </c>
      <c r="B18" s="41" t="inlineStr">
        <is>
          <t>Card Rush Store Guide</t>
        </is>
      </c>
      <c r="C18" s="41" t="inlineStr">
        <is>
          <t>https://www.cardrush.jp/page/4</t>
        </is>
      </c>
    </row>
    <row r="19">
      <c r="A19" s="41" t="inlineStr">
        <is>
          <t>일본</t>
        </is>
      </c>
      <c r="B19" s="41" t="inlineStr">
        <is>
          <t>Dragon Star</t>
        </is>
      </c>
      <c r="C19" s="41" t="inlineStr">
        <is>
          <t>https://dorasuta.jp/shop</t>
        </is>
      </c>
    </row>
    <row r="20">
      <c r="A20" s="41" t="inlineStr">
        <is>
          <t>일본</t>
        </is>
      </c>
      <c r="B20" s="41" t="inlineStr">
        <is>
          <t>Card Labo</t>
        </is>
      </c>
      <c r="C20" s="41" t="inlineStr">
        <is>
          <t>https://www.c-labo.jp/shop/</t>
        </is>
      </c>
    </row>
    <row r="21">
      <c r="A21" s="41" t="inlineStr">
        <is>
          <t>일본</t>
        </is>
      </c>
      <c r="B21" s="41" t="inlineStr">
        <is>
          <t>MINT</t>
        </is>
      </c>
      <c r="C21" s="41" t="inlineStr">
        <is>
          <t>https://mint-web.jp/</t>
        </is>
      </c>
    </row>
    <row r="23">
      <c r="A23" t="inlineStr">
        <is>
          <t>인스타그램 조사</t>
        </is>
      </c>
      <c r="B23" t="inlineStr">
        <is>
          <t>2026-09-11 조사. 한국: 네이버 플레이스 등록 SNS 링크 + 웹검색 후보를 인스타 프로필(표시명·소개글)로 대조 검증. 일본: 각 체인 공식 매장 페이지의 SNS 링크(대부분 X만 운영) 수집, 인스타는 확인된 매장만 기재.</t>
        </is>
      </c>
    </row>
    <row r="24">
      <c r="A24" t="inlineStr">
        <is>
          <t>대표 이미지 URL</t>
        </is>
      </c>
      <c r="B24" t="inlineStr">
        <is>
          <t>한국은 네이버 플레이스 대표 사진(안정 URL), 일본은 공식 사이트 매장 사진. 인스타 프로필 사진 URL 은 서명된 CDN 링크라 수일 내 만료 → 앱에 쓰려면 다운로드 후 자체 저장 필요.</t>
        </is>
      </c>
    </row>
    <row r="25">
      <c r="A25" t="inlineStr">
        <is>
          <t>미검증 표기</t>
        </is>
      </c>
      <c r="B25" t="inlineStr">
        <is>
          <t>비고에 [미검증] 이 붙은 인스타는 네이버 플레이스에 등록된 링크지만 프로필 대조가 끝나지 않은 항목. "없음" 은 이번 조사에서 계정을 찾지 못한 매장(계정이 실제로 없을 수도, 검색 한계일 수도 있음).</t>
        </is>
      </c>
    </row>
    <row r="27">
      <c r="A27" t="inlineStr">
        <is>
          <t>2차 보강(2026-09-12)</t>
        </is>
      </c>
      <c r="B27" t="inlineStr">
        <is>
          <t>검색 첫 결과로 노출되는 인스타그램 계정을 추가 수집해 프로필(표시명·소개글·주소)로 대조 검증 후 반영. 한국 46곳·일본 43곳으로 확대. 일본 체인(ドラゴンスター·晴れる屋2·MINT·駿河屋·포켓몬센터)은 지점 전용 계정이 없어 브랜드 공식 계정을 넣고 비고에 표시. 무관 계정으로 판명된 후보는 채우지 않고 "없음" 유지.</t>
        </is>
      </c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2026-09-11T09:29:06Z</dcterms:created>
  <dcterms:modified xsi:type="dcterms:W3CDTF">2026-09-11T16:42:03Z</dcterms:modified>
</cp:coreProperties>
</file>